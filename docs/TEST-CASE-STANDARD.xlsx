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hợp" sheetId="1" state="visible" r:id="rId1"/>
    <sheet name="Checklist" sheetId="2" state="visible" r:id="rId2"/>
    <sheet name="Web" sheetId="3" state="visible" r:id="rId3"/>
    <sheet name="App" sheetId="4" state="visible" r:id="rId4"/>
  </sheets>
  <definedNames>
    <definedName name="_xlnm._FilterDatabase" localSheetId="1" hidden="1">'Checklist'!$A$4:$H$293</definedName>
    <definedName name="_xlnm._FilterDatabase" localSheetId="2" hidden="1">'Web'!$A$1:$O$153</definedName>
    <definedName name="_xlnm._FilterDatabase" localSheetId="3" hidden="1">'App'!$A$1:$O$122</definedName>
  </definedNames>
  <calcPr calcId="124519" fullCalcOnLoad="1"/>
</workbook>
</file>

<file path=xl/styles.xml><?xml version="1.0" encoding="utf-8"?>
<styleSheet xmlns="http://schemas.openxmlformats.org/spreadsheetml/2006/main">
  <numFmts count="1">
    <numFmt numFmtId="164" formatCode="dd/mm/yyyy"/>
  </numFmts>
  <fonts count="7">
    <font>
      <name val="Calibri"/>
      <family val="2"/>
      <color theme="1"/>
      <sz val="11"/>
      <scheme val="minor"/>
    </font>
    <font>
      <name val="Arial"/>
      <b val="1"/>
      <color rgb="00FFFFFF"/>
    </font>
    <font>
      <name val="Arial"/>
      <sz val="10"/>
    </font>
    <font>
      <name val="Arial"/>
      <b val="1"/>
      <sz val="14"/>
    </font>
    <font>
      <name val="Arial"/>
      <i val="1"/>
      <color rgb="00595959"/>
      <sz val="9"/>
    </font>
    <font>
      <name val="Arial"/>
      <b val="1"/>
      <sz val="12"/>
    </font>
    <font>
      <name val="Arial"/>
      <b val="1"/>
      <sz val="10"/>
    </font>
  </fonts>
  <fills count="5">
    <fill>
      <patternFill/>
    </fill>
    <fill>
      <patternFill patternType="gray125"/>
    </fill>
    <fill>
      <patternFill patternType="solid">
        <fgColor rgb="001F4E78"/>
      </patternFill>
    </fill>
    <fill>
      <patternFill patternType="solid">
        <fgColor rgb="00FFF2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1" applyAlignment="1" pivotButton="0" quotePrefix="0" xfId="0">
      <alignment horizontal="center"/>
    </xf>
    <xf numFmtId="0" fontId="2" fillId="0" borderId="1" pivotButton="0" quotePrefix="0" xfId="0"/>
    <xf numFmtId="9" fontId="2" fillId="0" borderId="1" pivotButton="0" quotePrefix="0" xfId="0"/>
    <xf numFmtId="0" fontId="6" fillId="0" borderId="1" pivotButton="0" quotePrefix="0" xfId="0"/>
    <xf numFmtId="9" fontId="6" fillId="0" borderId="1" pivotButton="0" quotePrefix="0" xfId="0"/>
    <xf numFmtId="0" fontId="6" fillId="0" borderId="0" pivotButton="0" quotePrefix="0" xfId="0"/>
    <xf numFmtId="0" fontId="2" fillId="0" borderId="0" pivotButton="0" quotePrefix="0" xfId="0"/>
    <xf numFmtId="0" fontId="1" fillId="2" borderId="1" applyAlignment="1" pivotButton="0" quotePrefix="0" xfId="0">
      <alignment horizontal="center" vertical="center"/>
    </xf>
    <xf numFmtId="0" fontId="6" fillId="4" borderId="1"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Test case gói Standard – IACC Cloud</t>
        </is>
      </c>
    </row>
    <row r="2">
      <c r="A2" s="2" t="inlineStr">
        <is>
          <t>Web dựa trên docs/TONG-KET-LOGIC-STANDARD.md và danh sách màn trong src/app/registry.ts; App dựa trên src/ui/mobile/. Số liệu tự đếm từ hai sheet Web, App.</t>
        </is>
      </c>
    </row>
    <row r="4">
      <c r="A4" s="3" t="inlineStr">
        <is>
          <t>Web</t>
        </is>
      </c>
    </row>
    <row r="5">
      <c r="A5" s="4" t="inlineStr">
        <is>
          <t>Phân hệ</t>
        </is>
      </c>
      <c r="B5" s="4" t="inlineStr">
        <is>
          <t>Tổng</t>
        </is>
      </c>
      <c r="C5" s="4" t="inlineStr">
        <is>
          <t>Đạt</t>
        </is>
      </c>
      <c r="D5" s="4" t="inlineStr">
        <is>
          <t>Lỗi</t>
        </is>
      </c>
      <c r="E5" s="4" t="inlineStr">
        <is>
          <t>Bỏ qua</t>
        </is>
      </c>
      <c r="F5" s="4" t="inlineStr">
        <is>
          <t>Chưa test</t>
        </is>
      </c>
      <c r="G5" s="4" t="inlineStr">
        <is>
          <t>% Đã test</t>
        </is>
      </c>
    </row>
    <row r="6">
      <c r="A6" s="5" t="inlineStr">
        <is>
          <t>Khung app</t>
        </is>
      </c>
      <c r="B6" s="5">
        <f>COUNTIF(Web!$B$2:$B$153,A6)</f>
        <v/>
      </c>
      <c r="C6" s="5">
        <f>COUNTIFS(Web!$B$2:$B$153,$A6,Web!$L$2:$L$153,"Đạt")</f>
        <v/>
      </c>
      <c r="D6" s="5">
        <f>COUNTIFS(Web!$B$2:$B$153,$A6,Web!$L$2:$L$153,"Lỗi")</f>
        <v/>
      </c>
      <c r="E6" s="5">
        <f>COUNTIFS(Web!$B$2:$B$153,$A6,Web!$L$2:$L$153,"Bỏ qua")</f>
        <v/>
      </c>
      <c r="F6" s="5">
        <f>COUNTIFS(Web!$B$2:$B$153,$A6,Web!$L$2:$L$153,"Chưa test")</f>
        <v/>
      </c>
      <c r="G6" s="6">
        <f>IF(B6=0,0,(C6+D6+E6)/B6)</f>
        <v/>
      </c>
    </row>
    <row r="7">
      <c r="A7" s="5" t="inlineStr">
        <is>
          <t>Đăng nhập, khởi tạo</t>
        </is>
      </c>
      <c r="B7" s="5">
        <f>COUNTIF(Web!$B$2:$B$153,A7)</f>
        <v/>
      </c>
      <c r="C7" s="5">
        <f>COUNTIFS(Web!$B$2:$B$153,$A7,Web!$L$2:$L$153,"Đạt")</f>
        <v/>
      </c>
      <c r="D7" s="5">
        <f>COUNTIFS(Web!$B$2:$B$153,$A7,Web!$L$2:$L$153,"Lỗi")</f>
        <v/>
      </c>
      <c r="E7" s="5">
        <f>COUNTIFS(Web!$B$2:$B$153,$A7,Web!$L$2:$L$153,"Bỏ qua")</f>
        <v/>
      </c>
      <c r="F7" s="5">
        <f>COUNTIFS(Web!$B$2:$B$153,$A7,Web!$L$2:$L$153,"Chưa test")</f>
        <v/>
      </c>
      <c r="G7" s="6">
        <f>IF(B7=0,0,(C7+D7+E7)/B7)</f>
        <v/>
      </c>
    </row>
    <row r="8">
      <c r="A8" s="5" t="inlineStr">
        <is>
          <t>Trang chủ</t>
        </is>
      </c>
      <c r="B8" s="5">
        <f>COUNTIF(Web!$B$2:$B$153,A8)</f>
        <v/>
      </c>
      <c r="C8" s="5">
        <f>COUNTIFS(Web!$B$2:$B$153,$A8,Web!$L$2:$L$153,"Đạt")</f>
        <v/>
      </c>
      <c r="D8" s="5">
        <f>COUNTIFS(Web!$B$2:$B$153,$A8,Web!$L$2:$L$153,"Lỗi")</f>
        <v/>
      </c>
      <c r="E8" s="5">
        <f>COUNTIFS(Web!$B$2:$B$153,$A8,Web!$L$2:$L$153,"Bỏ qua")</f>
        <v/>
      </c>
      <c r="F8" s="5">
        <f>COUNTIFS(Web!$B$2:$B$153,$A8,Web!$L$2:$L$153,"Chưa test")</f>
        <v/>
      </c>
      <c r="G8" s="6">
        <f>IF(B8=0,0,(C8+D8+E8)/B8)</f>
        <v/>
      </c>
    </row>
    <row r="9">
      <c r="A9" s="5" t="inlineStr">
        <is>
          <t>Danh mục</t>
        </is>
      </c>
      <c r="B9" s="5">
        <f>COUNTIF(Web!$B$2:$B$153,A9)</f>
        <v/>
      </c>
      <c r="C9" s="5">
        <f>COUNTIFS(Web!$B$2:$B$153,$A9,Web!$L$2:$L$153,"Đạt")</f>
        <v/>
      </c>
      <c r="D9" s="5">
        <f>COUNTIFS(Web!$B$2:$B$153,$A9,Web!$L$2:$L$153,"Lỗi")</f>
        <v/>
      </c>
      <c r="E9" s="5">
        <f>COUNTIFS(Web!$B$2:$B$153,$A9,Web!$L$2:$L$153,"Bỏ qua")</f>
        <v/>
      </c>
      <c r="F9" s="5">
        <f>COUNTIFS(Web!$B$2:$B$153,$A9,Web!$L$2:$L$153,"Chưa test")</f>
        <v/>
      </c>
      <c r="G9" s="6">
        <f>IF(B9=0,0,(C9+D9+E9)/B9)</f>
        <v/>
      </c>
    </row>
    <row r="10">
      <c r="A10" s="5" t="inlineStr">
        <is>
          <t>Thu chi</t>
        </is>
      </c>
      <c r="B10" s="5">
        <f>COUNTIF(Web!$B$2:$B$153,A10)</f>
        <v/>
      </c>
      <c r="C10" s="5">
        <f>COUNTIFS(Web!$B$2:$B$153,$A10,Web!$L$2:$L$153,"Đạt")</f>
        <v/>
      </c>
      <c r="D10" s="5">
        <f>COUNTIFS(Web!$B$2:$B$153,$A10,Web!$L$2:$L$153,"Lỗi")</f>
        <v/>
      </c>
      <c r="E10" s="5">
        <f>COUNTIFS(Web!$B$2:$B$153,$A10,Web!$L$2:$L$153,"Bỏ qua")</f>
        <v/>
      </c>
      <c r="F10" s="5">
        <f>COUNTIFS(Web!$B$2:$B$153,$A10,Web!$L$2:$L$153,"Chưa test")</f>
        <v/>
      </c>
      <c r="G10" s="6">
        <f>IF(B10=0,0,(C10+D10+E10)/B10)</f>
        <v/>
      </c>
    </row>
    <row r="11">
      <c r="A11" s="5" t="inlineStr">
        <is>
          <t>Kế toán bán hàng</t>
        </is>
      </c>
      <c r="B11" s="5">
        <f>COUNTIF(Web!$B$2:$B$153,A11)</f>
        <v/>
      </c>
      <c r="C11" s="5">
        <f>COUNTIFS(Web!$B$2:$B$153,$A11,Web!$L$2:$L$153,"Đạt")</f>
        <v/>
      </c>
      <c r="D11" s="5">
        <f>COUNTIFS(Web!$B$2:$B$153,$A11,Web!$L$2:$L$153,"Lỗi")</f>
        <v/>
      </c>
      <c r="E11" s="5">
        <f>COUNTIFS(Web!$B$2:$B$153,$A11,Web!$L$2:$L$153,"Bỏ qua")</f>
        <v/>
      </c>
      <c r="F11" s="5">
        <f>COUNTIFS(Web!$B$2:$B$153,$A11,Web!$L$2:$L$153,"Chưa test")</f>
        <v/>
      </c>
      <c r="G11" s="6">
        <f>IF(B11=0,0,(C11+D11+E11)/B11)</f>
        <v/>
      </c>
    </row>
    <row r="12">
      <c r="A12" s="5" t="inlineStr">
        <is>
          <t>Kế toán mua hàng</t>
        </is>
      </c>
      <c r="B12" s="5">
        <f>COUNTIF(Web!$B$2:$B$153,A12)</f>
        <v/>
      </c>
      <c r="C12" s="5">
        <f>COUNTIFS(Web!$B$2:$B$153,$A12,Web!$L$2:$L$153,"Đạt")</f>
        <v/>
      </c>
      <c r="D12" s="5">
        <f>COUNTIFS(Web!$B$2:$B$153,$A12,Web!$L$2:$L$153,"Lỗi")</f>
        <v/>
      </c>
      <c r="E12" s="5">
        <f>COUNTIFS(Web!$B$2:$B$153,$A12,Web!$L$2:$L$153,"Bỏ qua")</f>
        <v/>
      </c>
      <c r="F12" s="5">
        <f>COUNTIFS(Web!$B$2:$B$153,$A12,Web!$L$2:$L$153,"Chưa test")</f>
        <v/>
      </c>
      <c r="G12" s="6">
        <f>IF(B12=0,0,(C12+D12+E12)/B12)</f>
        <v/>
      </c>
    </row>
    <row r="13">
      <c r="A13" s="5" t="inlineStr">
        <is>
          <t>Kiểm kê</t>
        </is>
      </c>
      <c r="B13" s="5">
        <f>COUNTIF(Web!$B$2:$B$153,A13)</f>
        <v/>
      </c>
      <c r="C13" s="5">
        <f>COUNTIFS(Web!$B$2:$B$153,$A13,Web!$L$2:$L$153,"Đạt")</f>
        <v/>
      </c>
      <c r="D13" s="5">
        <f>COUNTIFS(Web!$B$2:$B$153,$A13,Web!$L$2:$L$153,"Lỗi")</f>
        <v/>
      </c>
      <c r="E13" s="5">
        <f>COUNTIFS(Web!$B$2:$B$153,$A13,Web!$L$2:$L$153,"Bỏ qua")</f>
        <v/>
      </c>
      <c r="F13" s="5">
        <f>COUNTIFS(Web!$B$2:$B$153,$A13,Web!$L$2:$L$153,"Chưa test")</f>
        <v/>
      </c>
      <c r="G13" s="6">
        <f>IF(B13=0,0,(C13+D13+E13)/B13)</f>
        <v/>
      </c>
    </row>
    <row r="14">
      <c r="A14" s="5" t="inlineStr">
        <is>
          <t>Chi phí phân bổ</t>
        </is>
      </c>
      <c r="B14" s="5">
        <f>COUNTIF(Web!$B$2:$B$153,A14)</f>
        <v/>
      </c>
      <c r="C14" s="5">
        <f>COUNTIFS(Web!$B$2:$B$153,$A14,Web!$L$2:$L$153,"Đạt")</f>
        <v/>
      </c>
      <c r="D14" s="5">
        <f>COUNTIFS(Web!$B$2:$B$153,$A14,Web!$L$2:$L$153,"Lỗi")</f>
        <v/>
      </c>
      <c r="E14" s="5">
        <f>COUNTIFS(Web!$B$2:$B$153,$A14,Web!$L$2:$L$153,"Bỏ qua")</f>
        <v/>
      </c>
      <c r="F14" s="5">
        <f>COUNTIFS(Web!$B$2:$B$153,$A14,Web!$L$2:$L$153,"Chưa test")</f>
        <v/>
      </c>
      <c r="G14" s="6">
        <f>IF(B14=0,0,(C14+D14+E14)/B14)</f>
        <v/>
      </c>
    </row>
    <row r="15">
      <c r="A15" s="5" t="inlineStr">
        <is>
          <t>Kê khai thuế</t>
        </is>
      </c>
      <c r="B15" s="5">
        <f>COUNTIF(Web!$B$2:$B$153,A15)</f>
        <v/>
      </c>
      <c r="C15" s="5">
        <f>COUNTIFS(Web!$B$2:$B$153,$A15,Web!$L$2:$L$153,"Đạt")</f>
        <v/>
      </c>
      <c r="D15" s="5">
        <f>COUNTIFS(Web!$B$2:$B$153,$A15,Web!$L$2:$L$153,"Lỗi")</f>
        <v/>
      </c>
      <c r="E15" s="5">
        <f>COUNTIFS(Web!$B$2:$B$153,$A15,Web!$L$2:$L$153,"Bỏ qua")</f>
        <v/>
      </c>
      <c r="F15" s="5">
        <f>COUNTIFS(Web!$B$2:$B$153,$A15,Web!$L$2:$L$153,"Chưa test")</f>
        <v/>
      </c>
      <c r="G15" s="6">
        <f>IF(B15=0,0,(C15+D15+E15)/B15)</f>
        <v/>
      </c>
    </row>
    <row r="16">
      <c r="A16" s="5" t="inlineStr">
        <is>
          <t>Báo cáo</t>
        </is>
      </c>
      <c r="B16" s="5">
        <f>COUNTIF(Web!$B$2:$B$153,A16)</f>
        <v/>
      </c>
      <c r="C16" s="5">
        <f>COUNTIFS(Web!$B$2:$B$153,$A16,Web!$L$2:$L$153,"Đạt")</f>
        <v/>
      </c>
      <c r="D16" s="5">
        <f>COUNTIFS(Web!$B$2:$B$153,$A16,Web!$L$2:$L$153,"Lỗi")</f>
        <v/>
      </c>
      <c r="E16" s="5">
        <f>COUNTIFS(Web!$B$2:$B$153,$A16,Web!$L$2:$L$153,"Bỏ qua")</f>
        <v/>
      </c>
      <c r="F16" s="5">
        <f>COUNTIFS(Web!$B$2:$B$153,$A16,Web!$L$2:$L$153,"Chưa test")</f>
        <v/>
      </c>
      <c r="G16" s="6">
        <f>IF(B16=0,0,(C16+D16+E16)/B16)</f>
        <v/>
      </c>
    </row>
    <row r="17">
      <c r="A17" s="5" t="inlineStr">
        <is>
          <t>Hệ thống</t>
        </is>
      </c>
      <c r="B17" s="5">
        <f>COUNTIF(Web!$B$2:$B$153,A17)</f>
        <v/>
      </c>
      <c r="C17" s="5">
        <f>COUNTIFS(Web!$B$2:$B$153,$A17,Web!$L$2:$L$153,"Đạt")</f>
        <v/>
      </c>
      <c r="D17" s="5">
        <f>COUNTIFS(Web!$B$2:$B$153,$A17,Web!$L$2:$L$153,"Lỗi")</f>
        <v/>
      </c>
      <c r="E17" s="5">
        <f>COUNTIFS(Web!$B$2:$B$153,$A17,Web!$L$2:$L$153,"Bỏ qua")</f>
        <v/>
      </c>
      <c r="F17" s="5">
        <f>COUNTIFS(Web!$B$2:$B$153,$A17,Web!$L$2:$L$153,"Chưa test")</f>
        <v/>
      </c>
      <c r="G17" s="6">
        <f>IF(B17=0,0,(C17+D17+E17)/B17)</f>
        <v/>
      </c>
    </row>
    <row r="18">
      <c r="A18" s="5" t="inlineStr">
        <is>
          <t>Doanh nghiệp TT58</t>
        </is>
      </c>
      <c r="B18" s="5">
        <f>COUNTIF(Web!$B$2:$B$153,A18)</f>
        <v/>
      </c>
      <c r="C18" s="5">
        <f>COUNTIFS(Web!$B$2:$B$153,$A18,Web!$L$2:$L$153,"Đạt")</f>
        <v/>
      </c>
      <c r="D18" s="5">
        <f>COUNTIFS(Web!$B$2:$B$153,$A18,Web!$L$2:$L$153,"Lỗi")</f>
        <v/>
      </c>
      <c r="E18" s="5">
        <f>COUNTIFS(Web!$B$2:$B$153,$A18,Web!$L$2:$L$153,"Bỏ qua")</f>
        <v/>
      </c>
      <c r="F18" s="5">
        <f>COUNTIFS(Web!$B$2:$B$153,$A18,Web!$L$2:$L$153,"Chưa test")</f>
        <v/>
      </c>
      <c r="G18" s="6">
        <f>IF(B18=0,0,(C18+D18+E18)/B18)</f>
        <v/>
      </c>
    </row>
    <row r="19">
      <c r="A19" s="7" t="inlineStr">
        <is>
          <t>Tổng Web</t>
        </is>
      </c>
      <c r="B19" s="7">
        <f>SUM(B6:B18)</f>
        <v/>
      </c>
      <c r="C19" s="7">
        <f>SUM(C6:C18)</f>
        <v/>
      </c>
      <c r="D19" s="7">
        <f>SUM(D6:D18)</f>
        <v/>
      </c>
      <c r="E19" s="7">
        <f>SUM(E6:E18)</f>
        <v/>
      </c>
      <c r="F19" s="7">
        <f>SUM(F6:F18)</f>
        <v/>
      </c>
      <c r="G19" s="8">
        <f>IF(B19=0,0,(C19+D19+E19)/B19)</f>
        <v/>
      </c>
    </row>
    <row r="21">
      <c r="A21" s="3" t="inlineStr">
        <is>
          <t>App</t>
        </is>
      </c>
    </row>
    <row r="22">
      <c r="A22" s="4" t="inlineStr">
        <is>
          <t>Phân hệ</t>
        </is>
      </c>
      <c r="B22" s="4" t="inlineStr">
        <is>
          <t>Tổng</t>
        </is>
      </c>
      <c r="C22" s="4" t="inlineStr">
        <is>
          <t>Đạt</t>
        </is>
      </c>
      <c r="D22" s="4" t="inlineStr">
        <is>
          <t>Lỗi</t>
        </is>
      </c>
      <c r="E22" s="4" t="inlineStr">
        <is>
          <t>Bỏ qua</t>
        </is>
      </c>
      <c r="F22" s="4" t="inlineStr">
        <is>
          <t>Chưa test</t>
        </is>
      </c>
      <c r="G22" s="4" t="inlineStr">
        <is>
          <t>% Đã test</t>
        </is>
      </c>
    </row>
    <row r="23">
      <c r="A23" s="5" t="inlineStr">
        <is>
          <t>Khung app</t>
        </is>
      </c>
      <c r="B23" s="5">
        <f>COUNTIF(App!$B$2:$B$122,A23)</f>
        <v/>
      </c>
      <c r="C23" s="5">
        <f>COUNTIFS(App!$B$2:$B$122,$A23,App!$L$2:$L$122,"Đạt")</f>
        <v/>
      </c>
      <c r="D23" s="5">
        <f>COUNTIFS(App!$B$2:$B$122,$A23,App!$L$2:$L$122,"Lỗi")</f>
        <v/>
      </c>
      <c r="E23" s="5">
        <f>COUNTIFS(App!$B$2:$B$122,$A23,App!$L$2:$L$122,"Bỏ qua")</f>
        <v/>
      </c>
      <c r="F23" s="5">
        <f>COUNTIFS(App!$B$2:$B$122,$A23,App!$L$2:$L$122,"Chưa test")</f>
        <v/>
      </c>
      <c r="G23" s="6">
        <f>IF(B23=0,0,(C23+D23+E23)/B23)</f>
        <v/>
      </c>
    </row>
    <row r="24">
      <c r="A24" s="5" t="inlineStr">
        <is>
          <t>Đăng nhập, khởi tạo</t>
        </is>
      </c>
      <c r="B24" s="5">
        <f>COUNTIF(App!$B$2:$B$122,A24)</f>
        <v/>
      </c>
      <c r="C24" s="5">
        <f>COUNTIFS(App!$B$2:$B$122,$A24,App!$L$2:$L$122,"Đạt")</f>
        <v/>
      </c>
      <c r="D24" s="5">
        <f>COUNTIFS(App!$B$2:$B$122,$A24,App!$L$2:$L$122,"Lỗi")</f>
        <v/>
      </c>
      <c r="E24" s="5">
        <f>COUNTIFS(App!$B$2:$B$122,$A24,App!$L$2:$L$122,"Bỏ qua")</f>
        <v/>
      </c>
      <c r="F24" s="5">
        <f>COUNTIFS(App!$B$2:$B$122,$A24,App!$L$2:$L$122,"Chưa test")</f>
        <v/>
      </c>
      <c r="G24" s="6">
        <f>IF(B24=0,0,(C24+D24+E24)/B24)</f>
        <v/>
      </c>
    </row>
    <row r="25">
      <c r="A25" s="5" t="inlineStr">
        <is>
          <t>Trang chủ</t>
        </is>
      </c>
      <c r="B25" s="5">
        <f>COUNTIF(App!$B$2:$B$122,A25)</f>
        <v/>
      </c>
      <c r="C25" s="5">
        <f>COUNTIFS(App!$B$2:$B$122,$A25,App!$L$2:$L$122,"Đạt")</f>
        <v/>
      </c>
      <c r="D25" s="5">
        <f>COUNTIFS(App!$B$2:$B$122,$A25,App!$L$2:$L$122,"Lỗi")</f>
        <v/>
      </c>
      <c r="E25" s="5">
        <f>COUNTIFS(App!$B$2:$B$122,$A25,App!$L$2:$L$122,"Bỏ qua")</f>
        <v/>
      </c>
      <c r="F25" s="5">
        <f>COUNTIFS(App!$B$2:$B$122,$A25,App!$L$2:$L$122,"Chưa test")</f>
        <v/>
      </c>
      <c r="G25" s="6">
        <f>IF(B25=0,0,(C25+D25+E25)/B25)</f>
        <v/>
      </c>
    </row>
    <row r="26">
      <c r="A26" s="5" t="inlineStr">
        <is>
          <t>Tìm kiếm</t>
        </is>
      </c>
      <c r="B26" s="5">
        <f>COUNTIF(App!$B$2:$B$122,A26)</f>
        <v/>
      </c>
      <c r="C26" s="5">
        <f>COUNTIFS(App!$B$2:$B$122,$A26,App!$L$2:$L$122,"Đạt")</f>
        <v/>
      </c>
      <c r="D26" s="5">
        <f>COUNTIFS(App!$B$2:$B$122,$A26,App!$L$2:$L$122,"Lỗi")</f>
        <v/>
      </c>
      <c r="E26" s="5">
        <f>COUNTIFS(App!$B$2:$B$122,$A26,App!$L$2:$L$122,"Bỏ qua")</f>
        <v/>
      </c>
      <c r="F26" s="5">
        <f>COUNTIFS(App!$B$2:$B$122,$A26,App!$L$2:$L$122,"Chưa test")</f>
        <v/>
      </c>
      <c r="G26" s="6">
        <f>IF(B26=0,0,(C26+D26+E26)/B26)</f>
        <v/>
      </c>
    </row>
    <row r="27">
      <c r="A27" s="5" t="inlineStr">
        <is>
          <t>Thu chi</t>
        </is>
      </c>
      <c r="B27" s="5">
        <f>COUNTIF(App!$B$2:$B$122,A27)</f>
        <v/>
      </c>
      <c r="C27" s="5">
        <f>COUNTIFS(App!$B$2:$B$122,$A27,App!$L$2:$L$122,"Đạt")</f>
        <v/>
      </c>
      <c r="D27" s="5">
        <f>COUNTIFS(App!$B$2:$B$122,$A27,App!$L$2:$L$122,"Lỗi")</f>
        <v/>
      </c>
      <c r="E27" s="5">
        <f>COUNTIFS(App!$B$2:$B$122,$A27,App!$L$2:$L$122,"Bỏ qua")</f>
        <v/>
      </c>
      <c r="F27" s="5">
        <f>COUNTIFS(App!$B$2:$B$122,$A27,App!$L$2:$L$122,"Chưa test")</f>
        <v/>
      </c>
      <c r="G27" s="6">
        <f>IF(B27=0,0,(C27+D27+E27)/B27)</f>
        <v/>
      </c>
    </row>
    <row r="28">
      <c r="A28" s="5" t="inlineStr">
        <is>
          <t>Kế toán bán hàng</t>
        </is>
      </c>
      <c r="B28" s="5">
        <f>COUNTIF(App!$B$2:$B$122,A28)</f>
        <v/>
      </c>
      <c r="C28" s="5">
        <f>COUNTIFS(App!$B$2:$B$122,$A28,App!$L$2:$L$122,"Đạt")</f>
        <v/>
      </c>
      <c r="D28" s="5">
        <f>COUNTIFS(App!$B$2:$B$122,$A28,App!$L$2:$L$122,"Lỗi")</f>
        <v/>
      </c>
      <c r="E28" s="5">
        <f>COUNTIFS(App!$B$2:$B$122,$A28,App!$L$2:$L$122,"Bỏ qua")</f>
        <v/>
      </c>
      <c r="F28" s="5">
        <f>COUNTIFS(App!$B$2:$B$122,$A28,App!$L$2:$L$122,"Chưa test")</f>
        <v/>
      </c>
      <c r="G28" s="6">
        <f>IF(B28=0,0,(C28+D28+E28)/B28)</f>
        <v/>
      </c>
    </row>
    <row r="29">
      <c r="A29" s="5" t="inlineStr">
        <is>
          <t>Kế toán mua hàng</t>
        </is>
      </c>
      <c r="B29" s="5">
        <f>COUNTIF(App!$B$2:$B$122,A29)</f>
        <v/>
      </c>
      <c r="C29" s="5">
        <f>COUNTIFS(App!$B$2:$B$122,$A29,App!$L$2:$L$122,"Đạt")</f>
        <v/>
      </c>
      <c r="D29" s="5">
        <f>COUNTIFS(App!$B$2:$B$122,$A29,App!$L$2:$L$122,"Lỗi")</f>
        <v/>
      </c>
      <c r="E29" s="5">
        <f>COUNTIFS(App!$B$2:$B$122,$A29,App!$L$2:$L$122,"Bỏ qua")</f>
        <v/>
      </c>
      <c r="F29" s="5">
        <f>COUNTIFS(App!$B$2:$B$122,$A29,App!$L$2:$L$122,"Chưa test")</f>
        <v/>
      </c>
      <c r="G29" s="6">
        <f>IF(B29=0,0,(C29+D29+E29)/B29)</f>
        <v/>
      </c>
    </row>
    <row r="30">
      <c r="A30" s="5" t="inlineStr">
        <is>
          <t>Kiểm kê</t>
        </is>
      </c>
      <c r="B30" s="5">
        <f>COUNTIF(App!$B$2:$B$122,A30)</f>
        <v/>
      </c>
      <c r="C30" s="5">
        <f>COUNTIFS(App!$B$2:$B$122,$A30,App!$L$2:$L$122,"Đạt")</f>
        <v/>
      </c>
      <c r="D30" s="5">
        <f>COUNTIFS(App!$B$2:$B$122,$A30,App!$L$2:$L$122,"Lỗi")</f>
        <v/>
      </c>
      <c r="E30" s="5">
        <f>COUNTIFS(App!$B$2:$B$122,$A30,App!$L$2:$L$122,"Bỏ qua")</f>
        <v/>
      </c>
      <c r="F30" s="5">
        <f>COUNTIFS(App!$B$2:$B$122,$A30,App!$L$2:$L$122,"Chưa test")</f>
        <v/>
      </c>
      <c r="G30" s="6">
        <f>IF(B30=0,0,(C30+D30+E30)/B30)</f>
        <v/>
      </c>
    </row>
    <row r="31">
      <c r="A31" s="5" t="inlineStr">
        <is>
          <t>Chi phí phân bổ</t>
        </is>
      </c>
      <c r="B31" s="5">
        <f>COUNTIF(App!$B$2:$B$122,A31)</f>
        <v/>
      </c>
      <c r="C31" s="5">
        <f>COUNTIFS(App!$B$2:$B$122,$A31,App!$L$2:$L$122,"Đạt")</f>
        <v/>
      </c>
      <c r="D31" s="5">
        <f>COUNTIFS(App!$B$2:$B$122,$A31,App!$L$2:$L$122,"Lỗi")</f>
        <v/>
      </c>
      <c r="E31" s="5">
        <f>COUNTIFS(App!$B$2:$B$122,$A31,App!$L$2:$L$122,"Bỏ qua")</f>
        <v/>
      </c>
      <c r="F31" s="5">
        <f>COUNTIFS(App!$B$2:$B$122,$A31,App!$L$2:$L$122,"Chưa test")</f>
        <v/>
      </c>
      <c r="G31" s="6">
        <f>IF(B31=0,0,(C31+D31+E31)/B31)</f>
        <v/>
      </c>
    </row>
    <row r="32">
      <c r="A32" s="5" t="inlineStr">
        <is>
          <t>Kê khai thuế</t>
        </is>
      </c>
      <c r="B32" s="5">
        <f>COUNTIF(App!$B$2:$B$122,A32)</f>
        <v/>
      </c>
      <c r="C32" s="5">
        <f>COUNTIFS(App!$B$2:$B$122,$A32,App!$L$2:$L$122,"Đạt")</f>
        <v/>
      </c>
      <c r="D32" s="5">
        <f>COUNTIFS(App!$B$2:$B$122,$A32,App!$L$2:$L$122,"Lỗi")</f>
        <v/>
      </c>
      <c r="E32" s="5">
        <f>COUNTIFS(App!$B$2:$B$122,$A32,App!$L$2:$L$122,"Bỏ qua")</f>
        <v/>
      </c>
      <c r="F32" s="5">
        <f>COUNTIFS(App!$B$2:$B$122,$A32,App!$L$2:$L$122,"Chưa test")</f>
        <v/>
      </c>
      <c r="G32" s="6">
        <f>IF(B32=0,0,(C32+D32+E32)/B32)</f>
        <v/>
      </c>
    </row>
    <row r="33">
      <c r="A33" s="5" t="inlineStr">
        <is>
          <t>Báo cáo</t>
        </is>
      </c>
      <c r="B33" s="5">
        <f>COUNTIF(App!$B$2:$B$122,A33)</f>
        <v/>
      </c>
      <c r="C33" s="5">
        <f>COUNTIFS(App!$B$2:$B$122,$A33,App!$L$2:$L$122,"Đạt")</f>
        <v/>
      </c>
      <c r="D33" s="5">
        <f>COUNTIFS(App!$B$2:$B$122,$A33,App!$L$2:$L$122,"Lỗi")</f>
        <v/>
      </c>
      <c r="E33" s="5">
        <f>COUNTIFS(App!$B$2:$B$122,$A33,App!$L$2:$L$122,"Bỏ qua")</f>
        <v/>
      </c>
      <c r="F33" s="5">
        <f>COUNTIFS(App!$B$2:$B$122,$A33,App!$L$2:$L$122,"Chưa test")</f>
        <v/>
      </c>
      <c r="G33" s="6">
        <f>IF(B33=0,0,(C33+D33+E33)/B33)</f>
        <v/>
      </c>
    </row>
    <row r="34">
      <c r="A34" s="5" t="inlineStr">
        <is>
          <t>Tab Khác</t>
        </is>
      </c>
      <c r="B34" s="5">
        <f>COUNTIF(App!$B$2:$B$122,A34)</f>
        <v/>
      </c>
      <c r="C34" s="5">
        <f>COUNTIFS(App!$B$2:$B$122,$A34,App!$L$2:$L$122,"Đạt")</f>
        <v/>
      </c>
      <c r="D34" s="5">
        <f>COUNTIFS(App!$B$2:$B$122,$A34,App!$L$2:$L$122,"Lỗi")</f>
        <v/>
      </c>
      <c r="E34" s="5">
        <f>COUNTIFS(App!$B$2:$B$122,$A34,App!$L$2:$L$122,"Bỏ qua")</f>
        <v/>
      </c>
      <c r="F34" s="5">
        <f>COUNTIFS(App!$B$2:$B$122,$A34,App!$L$2:$L$122,"Chưa test")</f>
        <v/>
      </c>
      <c r="G34" s="6">
        <f>IF(B34=0,0,(C34+D34+E34)/B34)</f>
        <v/>
      </c>
    </row>
    <row r="35">
      <c r="A35" s="5" t="inlineStr">
        <is>
          <t>Xem phiếu</t>
        </is>
      </c>
      <c r="B35" s="5">
        <f>COUNTIF(App!$B$2:$B$122,A35)</f>
        <v/>
      </c>
      <c r="C35" s="5">
        <f>COUNTIFS(App!$B$2:$B$122,$A35,App!$L$2:$L$122,"Đạt")</f>
        <v/>
      </c>
      <c r="D35" s="5">
        <f>COUNTIFS(App!$B$2:$B$122,$A35,App!$L$2:$L$122,"Lỗi")</f>
        <v/>
      </c>
      <c r="E35" s="5">
        <f>COUNTIFS(App!$B$2:$B$122,$A35,App!$L$2:$L$122,"Bỏ qua")</f>
        <v/>
      </c>
      <c r="F35" s="5">
        <f>COUNTIFS(App!$B$2:$B$122,$A35,App!$L$2:$L$122,"Chưa test")</f>
        <v/>
      </c>
      <c r="G35" s="6">
        <f>IF(B35=0,0,(C35+D35+E35)/B35)</f>
        <v/>
      </c>
    </row>
    <row r="36">
      <c r="A36" s="5" t="inlineStr">
        <is>
          <t>Doanh nghiệp TT58</t>
        </is>
      </c>
      <c r="B36" s="5">
        <f>COUNTIF(App!$B$2:$B$122,A36)</f>
        <v/>
      </c>
      <c r="C36" s="5">
        <f>COUNTIFS(App!$B$2:$B$122,$A36,App!$L$2:$L$122,"Đạt")</f>
        <v/>
      </c>
      <c r="D36" s="5">
        <f>COUNTIFS(App!$B$2:$B$122,$A36,App!$L$2:$L$122,"Lỗi")</f>
        <v/>
      </c>
      <c r="E36" s="5">
        <f>COUNTIFS(App!$B$2:$B$122,$A36,App!$L$2:$L$122,"Bỏ qua")</f>
        <v/>
      </c>
      <c r="F36" s="5">
        <f>COUNTIFS(App!$B$2:$B$122,$A36,App!$L$2:$L$122,"Chưa test")</f>
        <v/>
      </c>
      <c r="G36" s="6">
        <f>IF(B36=0,0,(C36+D36+E36)/B36)</f>
        <v/>
      </c>
    </row>
    <row r="37">
      <c r="A37" s="7" t="inlineStr">
        <is>
          <t>Tổng App</t>
        </is>
      </c>
      <c r="B37" s="7">
        <f>SUM(B23:B36)</f>
        <v/>
      </c>
      <c r="C37" s="7">
        <f>SUM(C23:C36)</f>
        <v/>
      </c>
      <c r="D37" s="7">
        <f>SUM(D23:D36)</f>
        <v/>
      </c>
      <c r="E37" s="7">
        <f>SUM(E23:E36)</f>
        <v/>
      </c>
      <c r="F37" s="7">
        <f>SUM(F23:F36)</f>
        <v/>
      </c>
      <c r="G37" s="8">
        <f>IF(B37=0,0,(C37+D37+E37)/B37)</f>
        <v/>
      </c>
    </row>
    <row r="39">
      <c r="A39" s="7" t="inlineStr">
        <is>
          <t>Cả hai</t>
        </is>
      </c>
      <c r="B39" s="7">
        <f>B19+B37</f>
        <v/>
      </c>
      <c r="C39" s="7">
        <f>C19+C37</f>
        <v/>
      </c>
      <c r="D39" s="7">
        <f>D19+D37</f>
        <v/>
      </c>
      <c r="E39" s="7">
        <f>E19+E37</f>
        <v/>
      </c>
      <c r="F39" s="7">
        <f>F19+F37</f>
        <v/>
      </c>
      <c r="G39" s="8">
        <f>IF(B39=0,0,(C39+D39+E39)/B39)</f>
        <v/>
      </c>
    </row>
    <row r="41">
      <c r="A41" s="9" t="inlineStr">
        <is>
          <t>Cách dùng</t>
        </is>
      </c>
    </row>
    <row r="42">
      <c r="A42" s="10" t="inlineStr">
        <is>
          <t>• Sheet Web: test trên máy tính (màn rộng từ 768px). Sheet App: test app điện thoại (màn rộng dưới 768px, hoặc chế độ điện thoại của trình duyệt).</t>
        </is>
      </c>
    </row>
    <row r="43">
      <c r="A43" s="10" t="inlineStr">
        <is>
          <t>• Mỗi dòng là một ca kiểm. Làm theo cột Các bước, so với Kết quả mong đợi.</t>
        </is>
      </c>
    </row>
    <row r="44">
      <c r="A44" s="10" t="inlineStr">
        <is>
          <t>• Chỉ điền các cột nền vàng: Kết quả thực tế, Trạng thái (Chưa test / Đạt / Lỗi / Bỏ qua), Người test, Ngày test, Ghi chú.</t>
        </is>
      </c>
    </row>
    <row r="45">
      <c r="A45" s="10" t="inlineStr">
        <is>
          <t>• Lỗi thì ghi rõ hiện tượng ở Kết quả thực tế, rồi thêm việc mới vào docs/TIEN-DO.md.</t>
        </is>
      </c>
    </row>
    <row r="46">
      <c r="A46" s="10" t="inlineStr">
        <is>
          <t>• Tiền điều kiện mặc định: đơn vị Phố Mây gói Standard, hộ kinh doanh TT152. Test xong trả phiên về đơn vị này.</t>
        </is>
      </c>
    </row>
    <row r="47">
      <c r="A47" s="10" t="inlineStr">
        <is>
          <t>• Số liệu là dữ liệu giả; tháng 7–10/2026 có dữ liệu để đối chiếu.</t>
        </is>
      </c>
    </row>
    <row r="48">
      <c r="A48" s="10" t="inlineStr">
        <is>
          <t>Ví dụ một dòng đã test: Trạng thái Đạt, Người test PhuongXT, Ngày test 28/10/2026, Kết quả thực tế 'Đúng như mong đợi'.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3"/>
  <sheetViews>
    <sheetView workbookViewId="0">
      <pane ySplit="4" topLeftCell="A5" activePane="bottomLeft" state="frozen"/>
      <selection pane="bottomLeft" activeCell="A1" sqref="A1"/>
    </sheetView>
  </sheetViews>
  <sheetFormatPr baseColWidth="8" defaultRowHeight="15"/>
  <cols>
    <col width="5" customWidth="1" min="1" max="1"/>
    <col width="6" customWidth="1" min="2" max="2"/>
    <col width="10" customWidth="1" min="3" max="3"/>
    <col width="26" customWidth="1" min="4" max="4"/>
    <col width="46" customWidth="1" min="5" max="5"/>
    <col width="11" customWidth="1" min="6" max="6"/>
    <col width="12" customWidth="1" min="7" max="7"/>
    <col width="11" customWidth="1" min="8" max="8"/>
  </cols>
  <sheetData>
    <row r="1">
      <c r="A1" s="1" t="inlineStr">
        <is>
          <t>Checklist test gói Standard</t>
        </is>
      </c>
    </row>
    <row r="2">
      <c r="A2" s="2" t="inlineStr">
        <is>
          <t>Trạng thái tự lấy từ sheet Web, App: điền kết quả ở hai sheet đó, không điền ở đây. ☑ Đạt · ✗ Lỗi · – Bỏ qua · ☐ Chưa test.</t>
        </is>
      </c>
    </row>
    <row r="4">
      <c r="A4" s="11" t="inlineStr">
        <is>
          <t>✓</t>
        </is>
      </c>
      <c r="B4" s="11" t="inlineStr">
        <is>
          <t>STT</t>
        </is>
      </c>
      <c r="C4" s="11" t="inlineStr">
        <is>
          <t>Nền tảng</t>
        </is>
      </c>
      <c r="D4" s="11" t="inlineStr">
        <is>
          <t>Màn hình</t>
        </is>
      </c>
      <c r="E4" s="11" t="inlineStr">
        <is>
          <t>Nội dung kiểm</t>
        </is>
      </c>
      <c r="F4" s="11" t="inlineStr">
        <is>
          <t>Mã TC</t>
        </is>
      </c>
      <c r="G4" s="11" t="inlineStr">
        <is>
          <t>Trạng thái</t>
        </is>
      </c>
      <c r="H4" s="11" t="inlineStr">
        <is>
          <t>Ưu tiên</t>
        </is>
      </c>
    </row>
    <row r="5">
      <c r="A5" s="12" t="inlineStr">
        <is>
          <t>Khung app</t>
        </is>
      </c>
      <c r="B5" s="12" t="n"/>
      <c r="C5" s="12" t="n"/>
      <c r="D5" s="12" t="n"/>
      <c r="E5" s="12" t="n"/>
      <c r="F5" s="12" t="n"/>
      <c r="G5" s="12">
        <f>COUNTIF(G6:G28,"Đạt")&amp;"/23 đạt"</f>
        <v/>
      </c>
      <c r="H5" s="12" t="n"/>
    </row>
    <row r="6">
      <c r="A6" s="13">
        <f>IF(G6="Đạt","☑",IF(G6="Lỗi","✗",IF(G6="Bỏ qua","–","☐")))</f>
        <v/>
      </c>
      <c r="B6" s="13" t="n">
        <v>1</v>
      </c>
      <c r="C6" s="13" t="inlineStr">
        <is>
          <t>Web</t>
        </is>
      </c>
      <c r="D6" s="14" t="inlineStr">
        <is>
          <t>Sidebar</t>
        </is>
      </c>
      <c r="E6" s="14" t="inlineStr">
        <is>
          <t>Sidebar chỉ hiện phân hệ của gói Standard</t>
        </is>
      </c>
      <c r="F6" s="13" t="inlineStr">
        <is>
          <t>W-KA-001</t>
        </is>
      </c>
      <c r="G6" s="13">
        <f>IFERROR(INDEX(Web!$L:$L,MATCH(F6,Web!$A:$A,0)),"")</f>
        <v/>
      </c>
      <c r="H6" s="13" t="inlineStr">
        <is>
          <t>Cao</t>
        </is>
      </c>
    </row>
    <row r="7">
      <c r="A7" s="13">
        <f>IF(G7="Đạt","☑",IF(G7="Lỗi","✗",IF(G7="Bỏ qua","–","☐")))</f>
        <v/>
      </c>
      <c r="B7" s="13" t="n">
        <v>2</v>
      </c>
      <c r="C7" s="13" t="inlineStr">
        <is>
          <t>Web</t>
        </is>
      </c>
      <c r="D7" s="14" t="inlineStr">
        <is>
          <t>Sidebar</t>
        </is>
      </c>
      <c r="E7" s="14" t="inlineStr">
        <is>
          <t>Phân hệ Kho đổi tên thành Kiểm kê</t>
        </is>
      </c>
      <c r="F7" s="13" t="inlineStr">
        <is>
          <t>W-KA-002</t>
        </is>
      </c>
      <c r="G7" s="13">
        <f>IFERROR(INDEX(Web!$L:$L,MATCH(F7,Web!$A:$A,0)),"")</f>
        <v/>
      </c>
      <c r="H7" s="13" t="inlineStr">
        <is>
          <t>Trung bình</t>
        </is>
      </c>
    </row>
    <row r="8">
      <c r="A8" s="13">
        <f>IF(G8="Đạt","☑",IF(G8="Lỗi","✗",IF(G8="Bỏ qua","–","☐")))</f>
        <v/>
      </c>
      <c r="B8" s="13" t="n">
        <v>3</v>
      </c>
      <c r="C8" s="13" t="inlineStr">
        <is>
          <t>Web</t>
        </is>
      </c>
      <c r="D8" s="14" t="inlineStr">
        <is>
          <t>Sidebar</t>
        </is>
      </c>
      <c r="E8" s="14" t="inlineStr">
        <is>
          <t>Tính năng ngoài gói ẩn hẳn, không có ổ khoá mời nâng cấp (QD22)</t>
        </is>
      </c>
      <c r="F8" s="13" t="inlineStr">
        <is>
          <t>W-KA-003</t>
        </is>
      </c>
      <c r="G8" s="13">
        <f>IFERROR(INDEX(Web!$L:$L,MATCH(F8,Web!$A:$A,0)),"")</f>
        <v/>
      </c>
      <c r="H8" s="13" t="inlineStr">
        <is>
          <t>Cao</t>
        </is>
      </c>
    </row>
    <row r="9">
      <c r="A9" s="13">
        <f>IF(G9="Đạt","☑",IF(G9="Lỗi","✗",IF(G9="Bỏ qua","–","☐")))</f>
        <v/>
      </c>
      <c r="B9" s="13" t="n">
        <v>4</v>
      </c>
      <c r="C9" s="13" t="inlineStr">
        <is>
          <t>Web</t>
        </is>
      </c>
      <c r="D9" s="14" t="inlineStr">
        <is>
          <t>Sidebar</t>
        </is>
      </c>
      <c r="E9" s="14" t="inlineStr">
        <is>
          <t>Bấm logo về Tổng quan</t>
        </is>
      </c>
      <c r="F9" s="13" t="inlineStr">
        <is>
          <t>W-KA-004</t>
        </is>
      </c>
      <c r="G9" s="13">
        <f>IFERROR(INDEX(Web!$L:$L,MATCH(F9,Web!$A:$A,0)),"")</f>
        <v/>
      </c>
      <c r="H9" s="13" t="inlineStr">
        <is>
          <t>Trung bình</t>
        </is>
      </c>
    </row>
    <row r="10">
      <c r="A10" s="13">
        <f>IF(G10="Đạt","☑",IF(G10="Lỗi","✗",IF(G10="Bỏ qua","–","☐")))</f>
        <v/>
      </c>
      <c r="B10" s="13" t="n">
        <v>5</v>
      </c>
      <c r="C10" s="13" t="inlineStr">
        <is>
          <t>Web</t>
        </is>
      </c>
      <c r="D10" s="14" t="inlineStr">
        <is>
          <t>Mở màn</t>
        </is>
      </c>
      <c r="E10" s="14" t="inlineStr">
        <is>
          <t>Vào /app luôn về Tổng quan, không có Bàn làm việc</t>
        </is>
      </c>
      <c r="F10" s="13" t="inlineStr">
        <is>
          <t>W-KA-005</t>
        </is>
      </c>
      <c r="G10" s="13">
        <f>IFERROR(INDEX(Web!$L:$L,MATCH(F10,Web!$A:$A,0)),"")</f>
        <v/>
      </c>
      <c r="H10" s="13" t="inlineStr">
        <is>
          <t>Cao</t>
        </is>
      </c>
    </row>
    <row r="11">
      <c r="A11" s="13">
        <f>IF(G11="Đạt","☑",IF(G11="Lỗi","✗",IF(G11="Bỏ qua","–","☐")))</f>
        <v/>
      </c>
      <c r="B11" s="13" t="n">
        <v>6</v>
      </c>
      <c r="C11" s="13" t="inlineStr">
        <is>
          <t>Web</t>
        </is>
      </c>
      <c r="D11" s="14" t="inlineStr">
        <is>
          <t>Mở màn</t>
        </is>
      </c>
      <c r="E11" s="14" t="inlineStr">
        <is>
          <t>Gõ đường dẫn màn ngoài gói thì về màn đầu phân hệ</t>
        </is>
      </c>
      <c r="F11" s="13" t="inlineStr">
        <is>
          <t>W-KA-006</t>
        </is>
      </c>
      <c r="G11" s="13">
        <f>IFERROR(INDEX(Web!$L:$L,MATCH(F11,Web!$A:$A,0)),"")</f>
        <v/>
      </c>
      <c r="H11" s="13" t="inlineStr">
        <is>
          <t>Cao</t>
        </is>
      </c>
    </row>
    <row r="12">
      <c r="A12" s="13">
        <f>IF(G12="Đạt","☑",IF(G12="Lỗi","✗",IF(G12="Bỏ qua","–","☐")))</f>
        <v/>
      </c>
      <c r="B12" s="13" t="n">
        <v>7</v>
      </c>
      <c r="C12" s="13" t="inlineStr">
        <is>
          <t>Web</t>
        </is>
      </c>
      <c r="D12" s="14" t="inlineStr">
        <is>
          <t>Thanh trên</t>
        </is>
      </c>
      <c r="E12" s="14" t="inlineStr">
        <is>
          <t>Đổi đơn vị kế toán</t>
        </is>
      </c>
      <c r="F12" s="13" t="inlineStr">
        <is>
          <t>W-KA-007</t>
        </is>
      </c>
      <c r="G12" s="13">
        <f>IFERROR(INDEX(Web!$L:$L,MATCH(F12,Web!$A:$A,0)),"")</f>
        <v/>
      </c>
      <c r="H12" s="13" t="inlineStr">
        <is>
          <t>Trung bình</t>
        </is>
      </c>
    </row>
    <row r="13">
      <c r="A13" s="13">
        <f>IF(G13="Đạt","☑",IF(G13="Lỗi","✗",IF(G13="Bỏ qua","–","☐")))</f>
        <v/>
      </c>
      <c r="B13" s="13" t="n">
        <v>8</v>
      </c>
      <c r="C13" s="13" t="inlineStr">
        <is>
          <t>Web</t>
        </is>
      </c>
      <c r="D13" s="14" t="inlineStr">
        <is>
          <t>Thanh trên</t>
        </is>
      </c>
      <c r="E13" s="14" t="inlineStr">
        <is>
          <t>Chọn cửa hàng làm việc lọc danh sách, báo cáo</t>
        </is>
      </c>
      <c r="F13" s="13" t="inlineStr">
        <is>
          <t>W-KA-008</t>
        </is>
      </c>
      <c r="G13" s="13">
        <f>IFERROR(INDEX(Web!$L:$L,MATCH(F13,Web!$A:$A,0)),"")</f>
        <v/>
      </c>
      <c r="H13" s="13" t="inlineStr">
        <is>
          <t>Cao</t>
        </is>
      </c>
    </row>
    <row r="14">
      <c r="A14" s="13">
        <f>IF(G14="Đạt","☑",IF(G14="Lỗi","✗",IF(G14="Bỏ qua","–","☐")))</f>
        <v/>
      </c>
      <c r="B14" s="13" t="n">
        <v>9</v>
      </c>
      <c r="C14" s="13" t="inlineStr">
        <is>
          <t>Web</t>
        </is>
      </c>
      <c r="D14" s="14" t="inlineStr">
        <is>
          <t>Thanh trên</t>
        </is>
      </c>
      <c r="E14" s="14" t="inlineStr">
        <is>
          <t>Đang xem Tất cả cửa hàng thì phải chọn cửa hàng trước khi lập phiếu</t>
        </is>
      </c>
      <c r="F14" s="13" t="inlineStr">
        <is>
          <t>W-KA-009</t>
        </is>
      </c>
      <c r="G14" s="13">
        <f>IFERROR(INDEX(Web!$L:$L,MATCH(F14,Web!$A:$A,0)),"")</f>
        <v/>
      </c>
      <c r="H14" s="13" t="inlineStr">
        <is>
          <t>Cao</t>
        </is>
      </c>
    </row>
    <row r="15">
      <c r="A15" s="13">
        <f>IF(G15="Đạt","☑",IF(G15="Lỗi","✗",IF(G15="Bỏ qua","–","☐")))</f>
        <v/>
      </c>
      <c r="B15" s="13" t="n">
        <v>10</v>
      </c>
      <c r="C15" s="13" t="inlineStr">
        <is>
          <t>Web</t>
        </is>
      </c>
      <c r="D15" s="14" t="inlineStr">
        <is>
          <t>Thanh trên</t>
        </is>
      </c>
      <c r="E15" s="14" t="inlineStr">
        <is>
          <t>Chip Dùng thử còn N ngày</t>
        </is>
      </c>
      <c r="F15" s="13" t="inlineStr">
        <is>
          <t>W-KA-010</t>
        </is>
      </c>
      <c r="G15" s="13">
        <f>IFERROR(INDEX(Web!$L:$L,MATCH(F15,Web!$A:$A,0)),"")</f>
        <v/>
      </c>
      <c r="H15" s="13" t="inlineStr">
        <is>
          <t>Trung bình</t>
        </is>
      </c>
    </row>
    <row r="16">
      <c r="A16" s="13">
        <f>IF(G16="Đạt","☑",IF(G16="Lỗi","✗",IF(G16="Bỏ qua","–","☐")))</f>
        <v/>
      </c>
      <c r="B16" s="13" t="n">
        <v>11</v>
      </c>
      <c r="C16" s="13" t="inlineStr">
        <is>
          <t>Web</t>
        </is>
      </c>
      <c r="D16" s="14" t="inlineStr">
        <is>
          <t>Thanh trên</t>
        </is>
      </c>
      <c r="E16" s="14" t="inlineStr">
        <is>
          <t>Gói Standard ẩn chuông thông báo, menu tài khoản ẩn Người dùng</t>
        </is>
      </c>
      <c r="F16" s="13" t="inlineStr">
        <is>
          <t>W-KA-011</t>
        </is>
      </c>
      <c r="G16" s="13">
        <f>IFERROR(INDEX(Web!$L:$L,MATCH(F16,Web!$A:$A,0)),"")</f>
        <v/>
      </c>
      <c r="H16" s="13" t="inlineStr">
        <is>
          <t>Trung bình</t>
        </is>
      </c>
    </row>
    <row r="17">
      <c r="A17" s="13">
        <f>IF(G17="Đạt","☑",IF(G17="Lỗi","✗",IF(G17="Bỏ qua","–","☐")))</f>
        <v/>
      </c>
      <c r="B17" s="13" t="n">
        <v>12</v>
      </c>
      <c r="C17" s="13" t="inlineStr">
        <is>
          <t>Web</t>
        </is>
      </c>
      <c r="D17" s="14" t="inlineStr">
        <is>
          <t>Tìm nhanh (Ctrl+K)</t>
        </is>
      </c>
      <c r="E17" s="14" t="inlineStr">
        <is>
          <t>Tìm màn bằng chữ không dấu</t>
        </is>
      </c>
      <c r="F17" s="13" t="inlineStr">
        <is>
          <t>W-KA-012</t>
        </is>
      </c>
      <c r="G17" s="13">
        <f>IFERROR(INDEX(Web!$L:$L,MATCH(F17,Web!$A:$A,0)),"")</f>
        <v/>
      </c>
      <c r="H17" s="13" t="inlineStr">
        <is>
          <t>Trung bình</t>
        </is>
      </c>
    </row>
    <row r="18">
      <c r="A18" s="13">
        <f>IF(G18="Đạt","☑",IF(G18="Lỗi","✗",IF(G18="Bỏ qua","–","☐")))</f>
        <v/>
      </c>
      <c r="B18" s="13" t="n">
        <v>13</v>
      </c>
      <c r="C18" s="13" t="inlineStr">
        <is>
          <t>Web</t>
        </is>
      </c>
      <c r="D18" s="14" t="inlineStr">
        <is>
          <t>Tìm nhanh (Ctrl+K)</t>
        </is>
      </c>
      <c r="E18" s="14" t="inlineStr">
        <is>
          <t>Tìm nhanh không ra màn ngoài gói</t>
        </is>
      </c>
      <c r="F18" s="13" t="inlineStr">
        <is>
          <t>W-KA-013</t>
        </is>
      </c>
      <c r="G18" s="13">
        <f>IFERROR(INDEX(Web!$L:$L,MATCH(F18,Web!$A:$A,0)),"")</f>
        <v/>
      </c>
      <c r="H18" s="13" t="inlineStr">
        <is>
          <t>Trung bình</t>
        </is>
      </c>
    </row>
    <row r="19">
      <c r="A19" s="13">
        <f>IF(G19="Đạt","☑",IF(G19="Lỗi","✗",IF(G19="Bỏ qua","–","☐")))</f>
        <v/>
      </c>
      <c r="B19" s="13" t="n">
        <v>14</v>
      </c>
      <c r="C19" s="13" t="inlineStr">
        <is>
          <t>Web</t>
        </is>
      </c>
      <c r="D19" s="14" t="inlineStr">
        <is>
          <t>Thao tác nhanh</t>
        </is>
      </c>
      <c r="E19" s="14" t="inlineStr">
        <is>
          <t>Thao tác nhanh mặc định và tuỳ chỉnh</t>
        </is>
      </c>
      <c r="F19" s="13" t="inlineStr">
        <is>
          <t>W-KA-014</t>
        </is>
      </c>
      <c r="G19" s="13">
        <f>IFERROR(INDEX(Web!$L:$L,MATCH(F19,Web!$A:$A,0)),"")</f>
        <v/>
      </c>
      <c r="H19" s="13" t="inlineStr">
        <is>
          <t>Trung bình</t>
        </is>
      </c>
    </row>
    <row r="20">
      <c r="A20" s="13">
        <f>IF(G20="Đạt","☑",IF(G20="Lỗi","✗",IF(G20="Bỏ qua","–","☐")))</f>
        <v/>
      </c>
      <c r="B20" s="13" t="n">
        <v>15</v>
      </c>
      <c r="C20" s="13" t="inlineStr">
        <is>
          <t>App</t>
        </is>
      </c>
      <c r="D20" s="14" t="inlineStr">
        <is>
          <t>Thanh tab đáy</t>
        </is>
      </c>
      <c r="E20" s="14" t="inlineStr">
        <is>
          <t>4 tab đáy và tab đang sáng</t>
        </is>
      </c>
      <c r="F20" s="13" t="inlineStr">
        <is>
          <t>A-KA-001</t>
        </is>
      </c>
      <c r="G20" s="13">
        <f>IFERROR(INDEX(App!$L:$L,MATCH(F20,App!$A:$A,0)),"")</f>
        <v/>
      </c>
      <c r="H20" s="13" t="inlineStr">
        <is>
          <t>Cao</t>
        </is>
      </c>
    </row>
    <row r="21">
      <c r="A21" s="13">
        <f>IF(G21="Đạt","☑",IF(G21="Lỗi","✗",IF(G21="Bỏ qua","–","☐")))</f>
        <v/>
      </c>
      <c r="B21" s="13" t="n">
        <v>16</v>
      </c>
      <c r="C21" s="13" t="inlineStr">
        <is>
          <t>App</t>
        </is>
      </c>
      <c r="D21" s="14" t="inlineStr">
        <is>
          <t>Thanh tab đáy</t>
        </is>
      </c>
      <c r="E21" s="14" t="inlineStr">
        <is>
          <t>Ẩn hiện khi cuộn</t>
        </is>
      </c>
      <c r="F21" s="13" t="inlineStr">
        <is>
          <t>A-KA-002</t>
        </is>
      </c>
      <c r="G21" s="13">
        <f>IFERROR(INDEX(App!$L:$L,MATCH(F21,App!$A:$A,0)),"")</f>
        <v/>
      </c>
      <c r="H21" s="13" t="inlineStr">
        <is>
          <t>Trung bình</t>
        </is>
      </c>
    </row>
    <row r="22">
      <c r="A22" s="13">
        <f>IF(G22="Đạt","☑",IF(G22="Lỗi","✗",IF(G22="Bỏ qua","–","☐")))</f>
        <v/>
      </c>
      <c r="B22" s="13" t="n">
        <v>17</v>
      </c>
      <c r="C22" s="13" t="inlineStr">
        <is>
          <t>App</t>
        </is>
      </c>
      <c r="D22" s="14" t="inlineStr">
        <is>
          <t>Thanh tab đáy</t>
        </is>
      </c>
      <c r="E22" s="14" t="inlineStr">
        <is>
          <t>Ẩn thanh tab ở màn cấp 2</t>
        </is>
      </c>
      <c r="F22" s="13" t="inlineStr">
        <is>
          <t>A-KA-003</t>
        </is>
      </c>
      <c r="G22" s="13">
        <f>IFERROR(INDEX(App!$L:$L,MATCH(F22,App!$A:$A,0)),"")</f>
        <v/>
      </c>
      <c r="H22" s="13" t="inlineStr">
        <is>
          <t>Cao</t>
        </is>
      </c>
    </row>
    <row r="23">
      <c r="A23" s="13">
        <f>IF(G23="Đạt","☑",IF(G23="Lỗi","✗",IF(G23="Bỏ qua","–","☐")))</f>
        <v/>
      </c>
      <c r="B23" s="13" t="n">
        <v>18</v>
      </c>
      <c r="C23" s="13" t="inlineStr">
        <is>
          <t>App</t>
        </is>
      </c>
      <c r="D23" s="14" t="inlineStr">
        <is>
          <t>Thanh trên</t>
        </is>
      </c>
      <c r="E23" s="14" t="inlineStr">
        <is>
          <t>Chip chọn cửa hàng</t>
        </is>
      </c>
      <c r="F23" s="13" t="inlineStr">
        <is>
          <t>A-KA-004</t>
        </is>
      </c>
      <c r="G23" s="13">
        <f>IFERROR(INDEX(App!$L:$L,MATCH(F23,App!$A:$A,0)),"")</f>
        <v/>
      </c>
      <c r="H23" s="13" t="inlineStr">
        <is>
          <t>Cao</t>
        </is>
      </c>
    </row>
    <row r="24">
      <c r="A24" s="13">
        <f>IF(G24="Đạt","☑",IF(G24="Lỗi","✗",IF(G24="Bỏ qua","–","☐")))</f>
        <v/>
      </c>
      <c r="B24" s="13" t="n">
        <v>19</v>
      </c>
      <c r="C24" s="13" t="inlineStr">
        <is>
          <t>App</t>
        </is>
      </c>
      <c r="D24" s="14" t="inlineStr">
        <is>
          <t>Thanh trên</t>
        </is>
      </c>
      <c r="E24" s="14" t="inlineStr">
        <is>
          <t>Lập phiếu khi đang xem Tất cả cửa hàng</t>
        </is>
      </c>
      <c r="F24" s="13" t="inlineStr">
        <is>
          <t>A-KA-005</t>
        </is>
      </c>
      <c r="G24" s="13">
        <f>IFERROR(INDEX(App!$L:$L,MATCH(F24,App!$A:$A,0)),"")</f>
        <v/>
      </c>
      <c r="H24" s="13" t="inlineStr">
        <is>
          <t>Cao</t>
        </is>
      </c>
    </row>
    <row r="25">
      <c r="A25" s="13">
        <f>IF(G25="Đạt","☑",IF(G25="Lỗi","✗",IF(G25="Bỏ qua","–","☐")))</f>
        <v/>
      </c>
      <c r="B25" s="13" t="n">
        <v>20</v>
      </c>
      <c r="C25" s="13" t="inlineStr">
        <is>
          <t>App</t>
        </is>
      </c>
      <c r="D25" s="14" t="inlineStr">
        <is>
          <t>Thanh trên</t>
        </is>
      </c>
      <c r="E25" s="14" t="inlineStr">
        <is>
          <t>Nút Bộ lọc báo cáo</t>
        </is>
      </c>
      <c r="F25" s="13" t="inlineStr">
        <is>
          <t>A-KA-006</t>
        </is>
      </c>
      <c r="G25" s="13">
        <f>IFERROR(INDEX(App!$L:$L,MATCH(F25,App!$A:$A,0)),"")</f>
        <v/>
      </c>
      <c r="H25" s="13" t="inlineStr">
        <is>
          <t>Trung bình</t>
        </is>
      </c>
    </row>
    <row r="26">
      <c r="A26" s="13">
        <f>IF(G26="Đạt","☑",IF(G26="Lỗi","✗",IF(G26="Bỏ qua","–","☐")))</f>
        <v/>
      </c>
      <c r="B26" s="13" t="n">
        <v>21</v>
      </c>
      <c r="C26" s="13" t="inlineStr">
        <is>
          <t>App</t>
        </is>
      </c>
      <c r="D26" s="14" t="inlineStr">
        <is>
          <t>Chỉ dùng trên máy tính</t>
        </is>
      </c>
      <c r="E26" s="14" t="inlineStr">
        <is>
          <t>Màn chưa có bản điện thoại</t>
        </is>
      </c>
      <c r="F26" s="13" t="inlineStr">
        <is>
          <t>A-KA-007</t>
        </is>
      </c>
      <c r="G26" s="13">
        <f>IFERROR(INDEX(App!$L:$L,MATCH(F26,App!$A:$A,0)),"")</f>
        <v/>
      </c>
      <c r="H26" s="13" t="inlineStr">
        <is>
          <t>Thấp</t>
        </is>
      </c>
    </row>
    <row r="27">
      <c r="A27" s="13">
        <f>IF(G27="Đạt","☑",IF(G27="Lỗi","✗",IF(G27="Bỏ qua","–","☐")))</f>
        <v/>
      </c>
      <c r="B27" s="13" t="n">
        <v>22</v>
      </c>
      <c r="C27" s="13" t="inlineStr">
        <is>
          <t>App</t>
        </is>
      </c>
      <c r="D27" s="14" t="inlineStr">
        <is>
          <t>Đổi cỡ màn</t>
        </is>
      </c>
      <c r="E27" s="14" t="inlineStr">
        <is>
          <t>Chuyển qua lại web và app</t>
        </is>
      </c>
      <c r="F27" s="13" t="inlineStr">
        <is>
          <t>A-KA-008</t>
        </is>
      </c>
      <c r="G27" s="13">
        <f>IFERROR(INDEX(App!$L:$L,MATCH(F27,App!$A:$A,0)),"")</f>
        <v/>
      </c>
      <c r="H27" s="13" t="inlineStr">
        <is>
          <t>Thấp</t>
        </is>
      </c>
    </row>
    <row r="28">
      <c r="A28" s="13">
        <f>IF(G28="Đạt","☑",IF(G28="Lỗi","✗",IF(G28="Bỏ qua","–","☐")))</f>
        <v/>
      </c>
      <c r="B28" s="13" t="n">
        <v>23</v>
      </c>
      <c r="C28" s="13" t="inlineStr">
        <is>
          <t>App</t>
        </is>
      </c>
      <c r="D28" s="14" t="inlineStr">
        <is>
          <t>Ngoài gói</t>
        </is>
      </c>
      <c r="E28" s="14" t="inlineStr">
        <is>
          <t>Không hiện tính năng ngoài gói</t>
        </is>
      </c>
      <c r="F28" s="13" t="inlineStr">
        <is>
          <t>A-KA-009</t>
        </is>
      </c>
      <c r="G28" s="13">
        <f>IFERROR(INDEX(App!$L:$L,MATCH(F28,App!$A:$A,0)),"")</f>
        <v/>
      </c>
      <c r="H28" s="13" t="inlineStr">
        <is>
          <t>Cao</t>
        </is>
      </c>
    </row>
    <row r="29">
      <c r="A29" s="12" t="inlineStr">
        <is>
          <t>Đăng nhập, khởi tạo</t>
        </is>
      </c>
      <c r="B29" s="12" t="n"/>
      <c r="C29" s="12" t="n"/>
      <c r="D29" s="12" t="n"/>
      <c r="E29" s="12" t="n"/>
      <c r="F29" s="12" t="n"/>
      <c r="G29" s="12">
        <f>COUNTIF(G30:G44,"Đạt")&amp;"/15 đạt"</f>
        <v/>
      </c>
      <c r="H29" s="12" t="n"/>
    </row>
    <row r="30">
      <c r="A30" s="13">
        <f>IF(G30="Đạt","☑",IF(G30="Lỗi","✗",IF(G30="Bỏ qua","–","☐")))</f>
        <v/>
      </c>
      <c r="B30" s="13" t="n">
        <v>24</v>
      </c>
      <c r="C30" s="13" t="inlineStr">
        <is>
          <t>Web</t>
        </is>
      </c>
      <c r="D30" s="14" t="inlineStr">
        <is>
          <t>Đăng nhập</t>
        </is>
      </c>
      <c r="E30" s="14" t="inlineStr">
        <is>
          <t>Kiểm tra ô đăng nhập</t>
        </is>
      </c>
      <c r="F30" s="13" t="inlineStr">
        <is>
          <t>W-KT-001</t>
        </is>
      </c>
      <c r="G30" s="13">
        <f>IFERROR(INDEX(Web!$L:$L,MATCH(F30,Web!$A:$A,0)),"")</f>
        <v/>
      </c>
      <c r="H30" s="13" t="inlineStr">
        <is>
          <t>Cao</t>
        </is>
      </c>
    </row>
    <row r="31">
      <c r="A31" s="13">
        <f>IF(G31="Đạt","☑",IF(G31="Lỗi","✗",IF(G31="Bỏ qua","–","☐")))</f>
        <v/>
      </c>
      <c r="B31" s="13" t="n">
        <v>25</v>
      </c>
      <c r="C31" s="13" t="inlineStr">
        <is>
          <t>Web</t>
        </is>
      </c>
      <c r="D31" s="14" t="inlineStr">
        <is>
          <t>Chọn đơn vị</t>
        </is>
      </c>
      <c r="E31" s="14" t="inlineStr">
        <is>
          <t>Thẻ đơn vị ghi đủ thông tin</t>
        </is>
      </c>
      <c r="F31" s="13" t="inlineStr">
        <is>
          <t>W-KT-002</t>
        </is>
      </c>
      <c r="G31" s="13">
        <f>IFERROR(INDEX(Web!$L:$L,MATCH(F31,Web!$A:$A,0)),"")</f>
        <v/>
      </c>
      <c r="H31" s="13" t="inlineStr">
        <is>
          <t>Trung bình</t>
        </is>
      </c>
    </row>
    <row r="32">
      <c r="A32" s="13">
        <f>IF(G32="Đạt","☑",IF(G32="Lỗi","✗",IF(G32="Bỏ qua","–","☐")))</f>
        <v/>
      </c>
      <c r="B32" s="13" t="n">
        <v>26</v>
      </c>
      <c r="C32" s="13" t="inlineStr">
        <is>
          <t>Web</t>
        </is>
      </c>
      <c r="D32" s="14" t="inlineStr">
        <is>
          <t>Mở từ FABi</t>
        </is>
      </c>
      <c r="E32" s="14" t="inlineStr">
        <is>
          <t>Đi hết 4 màn mở từ FABi</t>
        </is>
      </c>
      <c r="F32" s="13" t="inlineStr">
        <is>
          <t>W-KT-003</t>
        </is>
      </c>
      <c r="G32" s="13">
        <f>IFERROR(INDEX(Web!$L:$L,MATCH(F32,Web!$A:$A,0)),"")</f>
        <v/>
      </c>
      <c r="H32" s="13" t="inlineStr">
        <is>
          <t>Cao</t>
        </is>
      </c>
    </row>
    <row r="33">
      <c r="A33" s="13">
        <f>IF(G33="Đạt","☑",IF(G33="Lỗi","✗",IF(G33="Bỏ qua","–","☐")))</f>
        <v/>
      </c>
      <c r="B33" s="13" t="n">
        <v>27</v>
      </c>
      <c r="C33" s="13" t="inlineStr">
        <is>
          <t>Web</t>
        </is>
      </c>
      <c r="D33" s="14" t="inlineStr">
        <is>
          <t>Mở từ FABi</t>
        </is>
      </c>
      <c r="E33" s="14" t="inlineStr">
        <is>
          <t>Phải chọn ít nhất 1 cửa hàng dùng thử</t>
        </is>
      </c>
      <c r="F33" s="13" t="inlineStr">
        <is>
          <t>W-KT-004</t>
        </is>
      </c>
      <c r="G33" s="13">
        <f>IFERROR(INDEX(Web!$L:$L,MATCH(F33,Web!$A:$A,0)),"")</f>
        <v/>
      </c>
      <c r="H33" s="13" t="inlineStr">
        <is>
          <t>Trung bình</t>
        </is>
      </c>
    </row>
    <row r="34">
      <c r="A34" s="13">
        <f>IF(G34="Đạt","☑",IF(G34="Lỗi","✗",IF(G34="Bỏ qua","–","☐")))</f>
        <v/>
      </c>
      <c r="B34" s="13" t="n">
        <v>28</v>
      </c>
      <c r="C34" s="13" t="inlineStr">
        <is>
          <t>Web</t>
        </is>
      </c>
      <c r="D34" s="14" t="inlineStr">
        <is>
          <t>Popup khởi tạo</t>
        </is>
      </c>
      <c r="E34" s="14" t="inlineStr">
        <is>
          <t>Popup bắt buộc, không đóng được, nhớ tiến độ</t>
        </is>
      </c>
      <c r="F34" s="13" t="inlineStr">
        <is>
          <t>W-KT-005</t>
        </is>
      </c>
      <c r="G34" s="13">
        <f>IFERROR(INDEX(Web!$L:$L,MATCH(F34,Web!$A:$A,0)),"")</f>
        <v/>
      </c>
      <c r="H34" s="13" t="inlineStr">
        <is>
          <t>Cao</t>
        </is>
      </c>
    </row>
    <row r="35">
      <c r="A35" s="13">
        <f>IF(G35="Đạt","☑",IF(G35="Lỗi","✗",IF(G35="Bỏ qua","–","☐")))</f>
        <v/>
      </c>
      <c r="B35" s="13" t="n">
        <v>29</v>
      </c>
      <c r="C35" s="13" t="inlineStr">
        <is>
          <t>Web</t>
        </is>
      </c>
      <c r="D35" s="14" t="inlineStr">
        <is>
          <t>Popup khởi tạo › B1 Loại hình</t>
        </is>
      </c>
      <c r="E35" s="14" t="inlineStr">
        <is>
          <t>Hộ kinh doanh: gợi ý nhóm theo doanh thu FABi</t>
        </is>
      </c>
      <c r="F35" s="13" t="inlineStr">
        <is>
          <t>W-KT-006</t>
        </is>
      </c>
      <c r="G35" s="13">
        <f>IFERROR(INDEX(Web!$L:$L,MATCH(F35,Web!$A:$A,0)),"")</f>
        <v/>
      </c>
      <c r="H35" s="13" t="inlineStr">
        <is>
          <t>Cao</t>
        </is>
      </c>
    </row>
    <row r="36">
      <c r="A36" s="13">
        <f>IF(G36="Đạt","☑",IF(G36="Lỗi","✗",IF(G36="Bỏ qua","–","☐")))</f>
        <v/>
      </c>
      <c r="B36" s="13" t="n">
        <v>30</v>
      </c>
      <c r="C36" s="13" t="inlineStr">
        <is>
          <t>Web</t>
        </is>
      </c>
      <c r="D36" s="14" t="inlineStr">
        <is>
          <t>Popup khởi tạo › B1 Loại hình</t>
        </is>
      </c>
      <c r="E36" s="14" t="inlineStr">
        <is>
          <t>Cảnh báo khi kê khai thuế không có ở gói Standard</t>
        </is>
      </c>
      <c r="F36" s="13" t="inlineStr">
        <is>
          <t>W-KT-007</t>
        </is>
      </c>
      <c r="G36" s="13">
        <f>IFERROR(INDEX(Web!$L:$L,MATCH(F36,Web!$A:$A,0)),"")</f>
        <v/>
      </c>
      <c r="H36" s="13" t="inlineStr">
        <is>
          <t>Trung bình</t>
        </is>
      </c>
    </row>
    <row r="37">
      <c r="A37" s="13">
        <f>IF(G37="Đạt","☑",IF(G37="Lỗi","✗",IF(G37="Bỏ qua","–","☐")))</f>
        <v/>
      </c>
      <c r="B37" s="13" t="n">
        <v>31</v>
      </c>
      <c r="C37" s="13" t="inlineStr">
        <is>
          <t>Web</t>
        </is>
      </c>
      <c r="D37" s="14" t="inlineStr">
        <is>
          <t>Popup khởi tạo › B2 Thông tin</t>
        </is>
      </c>
      <c r="E37" s="14" t="inlineStr">
        <is>
          <t>Bắt buộc nhập theo loại hình</t>
        </is>
      </c>
      <c r="F37" s="13" t="inlineStr">
        <is>
          <t>W-KT-008</t>
        </is>
      </c>
      <c r="G37" s="13">
        <f>IFERROR(INDEX(Web!$L:$L,MATCH(F37,Web!$A:$A,0)),"")</f>
        <v/>
      </c>
      <c r="H37" s="13" t="inlineStr">
        <is>
          <t>Cao</t>
        </is>
      </c>
    </row>
    <row r="38">
      <c r="A38" s="13">
        <f>IF(G38="Đạt","☑",IF(G38="Lỗi","✗",IF(G38="Bỏ qua","–","☐")))</f>
        <v/>
      </c>
      <c r="B38" s="13" t="n">
        <v>32</v>
      </c>
      <c r="C38" s="13" t="inlineStr">
        <is>
          <t>Web</t>
        </is>
      </c>
      <c r="D38" s="14" t="inlineStr">
        <is>
          <t>Popup khởi tạo › B2 Thông tin</t>
        </is>
      </c>
      <c r="E38" s="14" t="inlineStr">
        <is>
          <t>Tra cứu MST, ngày đầu năm tài chính</t>
        </is>
      </c>
      <c r="F38" s="13" t="inlineStr">
        <is>
          <t>W-KT-009</t>
        </is>
      </c>
      <c r="G38" s="13">
        <f>IFERROR(INDEX(Web!$L:$L,MATCH(F38,Web!$A:$A,0)),"")</f>
        <v/>
      </c>
      <c r="H38" s="13" t="inlineStr">
        <is>
          <t>Trung bình</t>
        </is>
      </c>
    </row>
    <row r="39">
      <c r="A39" s="13">
        <f>IF(G39="Đạt","☑",IF(G39="Lỗi","✗",IF(G39="Bỏ qua","–","☐")))</f>
        <v/>
      </c>
      <c r="B39" s="13" t="n">
        <v>33</v>
      </c>
      <c r="C39" s="13" t="inlineStr">
        <is>
          <t>Web</t>
        </is>
      </c>
      <c r="D39" s="14" t="inlineStr">
        <is>
          <t>Popup khởi tạo › B3 Cửa hàng</t>
        </is>
      </c>
      <c r="E39" s="14" t="inlineStr">
        <is>
          <t>Chọn cửa hàng lên sổ, cửa hàng chính</t>
        </is>
      </c>
      <c r="F39" s="13" t="inlineStr">
        <is>
          <t>W-KT-010</t>
        </is>
      </c>
      <c r="G39" s="13">
        <f>IFERROR(INDEX(Web!$L:$L,MATCH(F39,Web!$A:$A,0)),"")</f>
        <v/>
      </c>
      <c r="H39" s="13" t="inlineStr">
        <is>
          <t>Cao</t>
        </is>
      </c>
    </row>
    <row r="40">
      <c r="A40" s="13">
        <f>IF(G40="Đạt","☑",IF(G40="Lỗi","✗",IF(G40="Bỏ qua","–","☐")))</f>
        <v/>
      </c>
      <c r="B40" s="13" t="n">
        <v>34</v>
      </c>
      <c r="C40" s="13" t="inlineStr">
        <is>
          <t>Web</t>
        </is>
      </c>
      <c r="D40" s="14" t="inlineStr">
        <is>
          <t>Popup khởi tạo › Lấy dữ liệu</t>
        </is>
      </c>
      <c r="E40" s="14" t="inlineStr">
        <is>
          <t>Lấy dữ liệu FABi và bắt đầu làm việc</t>
        </is>
      </c>
      <c r="F40" s="13" t="inlineStr">
        <is>
          <t>W-KT-011</t>
        </is>
      </c>
      <c r="G40" s="13">
        <f>IFERROR(INDEX(Web!$L:$L,MATCH(F40,Web!$A:$A,0)),"")</f>
        <v/>
      </c>
      <c r="H40" s="13" t="inlineStr">
        <is>
          <t>Cao</t>
        </is>
      </c>
    </row>
    <row r="41">
      <c r="A41" s="13">
        <f>IF(G41="Đạt","☑",IF(G41="Lỗi","✗",IF(G41="Bỏ qua","–","☐")))</f>
        <v/>
      </c>
      <c r="B41" s="13" t="n">
        <v>35</v>
      </c>
      <c r="C41" s="13" t="inlineStr">
        <is>
          <t>Web</t>
        </is>
      </c>
      <c r="D41" s="14" t="inlineStr">
        <is>
          <t>Popup khởi tạo › Lấy dữ liệu</t>
        </is>
      </c>
      <c r="E41" s="14" t="inlineStr">
        <is>
          <t>Doanh thu FABi vào Xuất bán POS</t>
        </is>
      </c>
      <c r="F41" s="13" t="inlineStr">
        <is>
          <t>W-KT-012</t>
        </is>
      </c>
      <c r="G41" s="13">
        <f>IFERROR(INDEX(Web!$L:$L,MATCH(F41,Web!$A:$A,0)),"")</f>
        <v/>
      </c>
      <c r="H41" s="13" t="inlineStr">
        <is>
          <t>Trung bình</t>
        </is>
      </c>
    </row>
    <row r="42">
      <c r="A42" s="13">
        <f>IF(G42="Đạt","☑",IF(G42="Lỗi","✗",IF(G42="Bỏ qua","–","☐")))</f>
        <v/>
      </c>
      <c r="B42" s="13" t="n">
        <v>36</v>
      </c>
      <c r="C42" s="13" t="inlineStr">
        <is>
          <t>App</t>
        </is>
      </c>
      <c r="D42" s="14" t="inlineStr">
        <is>
          <t>Đăng nhập</t>
        </is>
      </c>
      <c r="E42" s="14" t="inlineStr">
        <is>
          <t>Đăng nhập trên điện thoại</t>
        </is>
      </c>
      <c r="F42" s="13" t="inlineStr">
        <is>
          <t>A-KT-001</t>
        </is>
      </c>
      <c r="G42" s="13">
        <f>IFERROR(INDEX(App!$L:$L,MATCH(F42,App!$A:$A,0)),"")</f>
        <v/>
      </c>
      <c r="H42" s="13" t="inlineStr">
        <is>
          <t>Cao</t>
        </is>
      </c>
    </row>
    <row r="43">
      <c r="A43" s="13">
        <f>IF(G43="Đạt","☑",IF(G43="Lỗi","✗",IF(G43="Bỏ qua","–","☐")))</f>
        <v/>
      </c>
      <c r="B43" s="13" t="n">
        <v>37</v>
      </c>
      <c r="C43" s="13" t="inlineStr">
        <is>
          <t>App</t>
        </is>
      </c>
      <c r="D43" s="14" t="inlineStr">
        <is>
          <t>Mở từ FABi (điện thoại)</t>
        </is>
      </c>
      <c r="E43" s="14" t="inlineStr">
        <is>
          <t>4 màn mở từ FABi trên điện thoại</t>
        </is>
      </c>
      <c r="F43" s="13" t="inlineStr">
        <is>
          <t>A-KT-002</t>
        </is>
      </c>
      <c r="G43" s="13">
        <f>IFERROR(INDEX(App!$L:$L,MATCH(F43,App!$A:$A,0)),"")</f>
        <v/>
      </c>
      <c r="H43" s="13" t="inlineStr">
        <is>
          <t>Cao</t>
        </is>
      </c>
    </row>
    <row r="44">
      <c r="A44" s="13">
        <f>IF(G44="Đạt","☑",IF(G44="Lỗi","✗",IF(G44="Bỏ qua","–","☐")))</f>
        <v/>
      </c>
      <c r="B44" s="13" t="n">
        <v>38</v>
      </c>
      <c r="C44" s="13" t="inlineStr">
        <is>
          <t>App</t>
        </is>
      </c>
      <c r="D44" s="14" t="inlineStr">
        <is>
          <t>Popup khởi tạo (điện thoại)</t>
        </is>
      </c>
      <c r="E44" s="14" t="inlineStr">
        <is>
          <t>Popup khởi tạo vừa màn điện thoại</t>
        </is>
      </c>
      <c r="F44" s="13" t="inlineStr">
        <is>
          <t>A-KT-003</t>
        </is>
      </c>
      <c r="G44" s="13">
        <f>IFERROR(INDEX(App!$L:$L,MATCH(F44,App!$A:$A,0)),"")</f>
        <v/>
      </c>
      <c r="H44" s="13" t="inlineStr">
        <is>
          <t>Trung bình</t>
        </is>
      </c>
    </row>
    <row r="45">
      <c r="A45" s="12" t="inlineStr">
        <is>
          <t>Trang chủ</t>
        </is>
      </c>
      <c r="B45" s="12" t="n"/>
      <c r="C45" s="12" t="n"/>
      <c r="D45" s="12" t="n"/>
      <c r="E45" s="12" t="n"/>
      <c r="F45" s="12" t="n"/>
      <c r="G45" s="12">
        <f>COUNTIF(G46:G86,"Đạt")&amp;"/41 đạt"</f>
        <v/>
      </c>
      <c r="H45" s="12" t="n"/>
    </row>
    <row r="46">
      <c r="A46" s="13">
        <f>IF(G46="Đạt","☑",IF(G46="Lỗi","✗",IF(G46="Bỏ qua","–","☐")))</f>
        <v/>
      </c>
      <c r="B46" s="13" t="n">
        <v>39</v>
      </c>
      <c r="C46" s="13" t="inlineStr">
        <is>
          <t>Web</t>
        </is>
      </c>
      <c r="D46" s="14" t="inlineStr">
        <is>
          <t>Tổng quan</t>
        </is>
      </c>
      <c r="E46" s="14" t="inlineStr">
        <is>
          <t>Bố cục trang chủ gói Standard</t>
        </is>
      </c>
      <c r="F46" s="13" t="inlineStr">
        <is>
          <t>W-TC-001</t>
        </is>
      </c>
      <c r="G46" s="13">
        <f>IFERROR(INDEX(Web!$L:$L,MATCH(F46,Web!$A:$A,0)),"")</f>
        <v/>
      </c>
      <c r="H46" s="13" t="inlineStr">
        <is>
          <t>Cao</t>
        </is>
      </c>
    </row>
    <row r="47">
      <c r="A47" s="13">
        <f>IF(G47="Đạt","☑",IF(G47="Lỗi","✗",IF(G47="Bỏ qua","–","☐")))</f>
        <v/>
      </c>
      <c r="B47" s="13" t="n">
        <v>40</v>
      </c>
      <c r="C47" s="13" t="inlineStr">
        <is>
          <t>Web</t>
        </is>
      </c>
      <c r="D47" s="14" t="inlineStr">
        <is>
          <t>Tổng quan</t>
        </is>
      </c>
      <c r="E47" s="14" t="inlineStr">
        <is>
          <t>Đổi Năm, Tháng đổi luôn tháng làm việc</t>
        </is>
      </c>
      <c r="F47" s="13" t="inlineStr">
        <is>
          <t>W-TC-002</t>
        </is>
      </c>
      <c r="G47" s="13">
        <f>IFERROR(INDEX(Web!$L:$L,MATCH(F47,Web!$A:$A,0)),"")</f>
        <v/>
      </c>
      <c r="H47" s="13" t="inlineStr">
        <is>
          <t>Cao</t>
        </is>
      </c>
    </row>
    <row r="48">
      <c r="A48" s="13">
        <f>IF(G48="Đạt","☑",IF(G48="Lỗi","✗",IF(G48="Bỏ qua","–","☐")))</f>
        <v/>
      </c>
      <c r="B48" s="13" t="n">
        <v>41</v>
      </c>
      <c r="C48" s="13" t="inlineStr">
        <is>
          <t>Web</t>
        </is>
      </c>
      <c r="D48" s="14" t="inlineStr">
        <is>
          <t>Tổng quan</t>
        </is>
      </c>
      <c r="E48" s="14" t="inlineStr">
        <is>
          <t>Nhắc khoá sổ</t>
        </is>
      </c>
      <c r="F48" s="13" t="inlineStr">
        <is>
          <t>W-TC-003</t>
        </is>
      </c>
      <c r="G48" s="13">
        <f>IFERROR(INDEX(Web!$L:$L,MATCH(F48,Web!$A:$A,0)),"")</f>
        <v/>
      </c>
      <c r="H48" s="13" t="inlineStr">
        <is>
          <t>Trung bình</t>
        </is>
      </c>
    </row>
    <row r="49">
      <c r="A49" s="13">
        <f>IF(G49="Đạt","☑",IF(G49="Lỗi","✗",IF(G49="Bỏ qua","–","☐")))</f>
        <v/>
      </c>
      <c r="B49" s="13" t="n">
        <v>42</v>
      </c>
      <c r="C49" s="13" t="inlineStr">
        <is>
          <t>Web</t>
        </is>
      </c>
      <c r="D49" s="14" t="inlineStr">
        <is>
          <t>Tổng quan</t>
        </is>
      </c>
      <c r="E49" s="14" t="inlineStr">
        <is>
          <t>5 thao tác nhanh mở đúng form</t>
        </is>
      </c>
      <c r="F49" s="13" t="inlineStr">
        <is>
          <t>W-TC-004</t>
        </is>
      </c>
      <c r="G49" s="13">
        <f>IFERROR(INDEX(Web!$L:$L,MATCH(F49,Web!$A:$A,0)),"")</f>
        <v/>
      </c>
      <c r="H49" s="13" t="inlineStr">
        <is>
          <t>Trung bình</t>
        </is>
      </c>
    </row>
    <row r="50">
      <c r="A50" s="13">
        <f>IF(G50="Đạt","☑",IF(G50="Lỗi","✗",IF(G50="Bỏ qua","–","☐")))</f>
        <v/>
      </c>
      <c r="B50" s="13" t="n">
        <v>43</v>
      </c>
      <c r="C50" s="13" t="inlineStr">
        <is>
          <t>Web</t>
        </is>
      </c>
      <c r="D50" s="14" t="inlineStr">
        <is>
          <t>Tổng quan › KQKD</t>
        </is>
      </c>
      <c r="E50" s="14" t="inlineStr">
        <is>
          <t>Công thức lợi nhuận</t>
        </is>
      </c>
      <c r="F50" s="13" t="inlineStr">
        <is>
          <t>W-TC-005</t>
        </is>
      </c>
      <c r="G50" s="13">
        <f>IFERROR(INDEX(Web!$L:$L,MATCH(F50,Web!$A:$A,0)),"")</f>
        <v/>
      </c>
      <c r="H50" s="13" t="inlineStr">
        <is>
          <t>Cao</t>
        </is>
      </c>
    </row>
    <row r="51">
      <c r="A51" s="13">
        <f>IF(G51="Đạt","☑",IF(G51="Lỗi","✗",IF(G51="Bỏ qua","–","☐")))</f>
        <v/>
      </c>
      <c r="B51" s="13" t="n">
        <v>44</v>
      </c>
      <c r="C51" s="13" t="inlineStr">
        <is>
          <t>Web</t>
        </is>
      </c>
      <c r="D51" s="14" t="inlineStr">
        <is>
          <t>Tổng quan › KQKD</t>
        </is>
      </c>
      <c r="E51" s="14" t="inlineStr">
        <is>
          <t>Số liệu khớp màn chi tiết</t>
        </is>
      </c>
      <c r="F51" s="13" t="inlineStr">
        <is>
          <t>W-TC-006</t>
        </is>
      </c>
      <c r="G51" s="13">
        <f>IFERROR(INDEX(Web!$L:$L,MATCH(F51,Web!$A:$A,0)),"")</f>
        <v/>
      </c>
      <c r="H51" s="13" t="inlineStr">
        <is>
          <t>Cao</t>
        </is>
      </c>
    </row>
    <row r="52">
      <c r="A52" s="13">
        <f>IF(G52="Đạt","☑",IF(G52="Lỗi","✗",IF(G52="Bỏ qua","–","☐")))</f>
        <v/>
      </c>
      <c r="B52" s="13" t="n">
        <v>45</v>
      </c>
      <c r="C52" s="13" t="inlineStr">
        <is>
          <t>Web</t>
        </is>
      </c>
      <c r="D52" s="14" t="inlineStr">
        <is>
          <t>Tổng quan › KQKD</t>
        </is>
      </c>
      <c r="E52" s="14" t="inlineStr">
        <is>
          <t>Biểu đồ hiệu quả 13 tháng</t>
        </is>
      </c>
      <c r="F52" s="13" t="inlineStr">
        <is>
          <t>W-TC-007</t>
        </is>
      </c>
      <c r="G52" s="13">
        <f>IFERROR(INDEX(Web!$L:$L,MATCH(F52,Web!$A:$A,0)),"")</f>
        <v/>
      </c>
      <c r="H52" s="13" t="inlineStr">
        <is>
          <t>Thấp</t>
        </is>
      </c>
    </row>
    <row r="53">
      <c r="A53" s="13">
        <f>IF(G53="Đạt","☑",IF(G53="Lỗi","✗",IF(G53="Bỏ qua","–","☐")))</f>
        <v/>
      </c>
      <c r="B53" s="13" t="n">
        <v>46</v>
      </c>
      <c r="C53" s="13" t="inlineStr">
        <is>
          <t>Web</t>
        </is>
      </c>
      <c r="D53" s="14" t="inlineStr">
        <is>
          <t>Tổng quan › Quỹ tiền</t>
        </is>
      </c>
      <c r="E53" s="14" t="inlineStr">
        <is>
          <t>Tồn quỹ và chi tiết một quỹ</t>
        </is>
      </c>
      <c r="F53" s="13" t="inlineStr">
        <is>
          <t>W-TC-008</t>
        </is>
      </c>
      <c r="G53" s="13">
        <f>IFERROR(INDEX(Web!$L:$L,MATCH(F53,Web!$A:$A,0)),"")</f>
        <v/>
      </c>
      <c r="H53" s="13" t="inlineStr">
        <is>
          <t>Cao</t>
        </is>
      </c>
    </row>
    <row r="54">
      <c r="A54" s="13">
        <f>IF(G54="Đạt","☑",IF(G54="Lỗi","✗",IF(G54="Bỏ qua","–","☐")))</f>
        <v/>
      </c>
      <c r="B54" s="13" t="n">
        <v>47</v>
      </c>
      <c r="C54" s="13" t="inlineStr">
        <is>
          <t>Web</t>
        </is>
      </c>
      <c r="D54" s="14" t="inlineStr">
        <is>
          <t>Tổng quan › Quỹ tiền</t>
        </is>
      </c>
      <c r="E54" s="14" t="inlineStr">
        <is>
          <t>Chưa có quỹ, menu Xem sổ</t>
        </is>
      </c>
      <c r="F54" s="13" t="inlineStr">
        <is>
          <t>W-TC-009</t>
        </is>
      </c>
      <c r="G54" s="13">
        <f>IFERROR(INDEX(Web!$L:$L,MATCH(F54,Web!$A:$A,0)),"")</f>
        <v/>
      </c>
      <c r="H54" s="13" t="inlineStr">
        <is>
          <t>Trung bình</t>
        </is>
      </c>
    </row>
    <row r="55">
      <c r="A55" s="13">
        <f>IF(G55="Đạt","☑",IF(G55="Lỗi","✗",IF(G55="Bỏ qua","–","☐")))</f>
        <v/>
      </c>
      <c r="B55" s="13" t="n">
        <v>48</v>
      </c>
      <c r="C55" s="13" t="inlineStr">
        <is>
          <t>Web</t>
        </is>
      </c>
      <c r="D55" s="14" t="inlineStr">
        <is>
          <t>Tổng quan › Mua hàng</t>
        </is>
      </c>
      <c r="E55" s="14" t="inlineStr">
        <is>
          <t>Giá trị mua và công nợ nhà cung cấp</t>
        </is>
      </c>
      <c r="F55" s="13" t="inlineStr">
        <is>
          <t>W-TC-010</t>
        </is>
      </c>
      <c r="G55" s="13">
        <f>IFERROR(INDEX(Web!$L:$L,MATCH(F55,Web!$A:$A,0)),"")</f>
        <v/>
      </c>
      <c r="H55" s="13" t="inlineStr">
        <is>
          <t>Cao</t>
        </is>
      </c>
    </row>
    <row r="56">
      <c r="A56" s="13">
        <f>IF(G56="Đạt","☑",IF(G56="Lỗi","✗",IF(G56="Bỏ qua","–","☐")))</f>
        <v/>
      </c>
      <c r="B56" s="13" t="n">
        <v>49</v>
      </c>
      <c r="C56" s="13" t="inlineStr">
        <is>
          <t>Web</t>
        </is>
      </c>
      <c r="D56" s="14" t="inlineStr">
        <is>
          <t>Tổng quan › Mua hàng</t>
        </is>
      </c>
      <c r="E56" s="14" t="inlineStr">
        <is>
          <t>Nút Tạo phiếu mua, Thanh toán NCC</t>
        </is>
      </c>
      <c r="F56" s="13" t="inlineStr">
        <is>
          <t>W-TC-011</t>
        </is>
      </c>
      <c r="G56" s="13">
        <f>IFERROR(INDEX(Web!$L:$L,MATCH(F56,Web!$A:$A,0)),"")</f>
        <v/>
      </c>
      <c r="H56" s="13" t="inlineStr">
        <is>
          <t>Trung bình</t>
        </is>
      </c>
    </row>
    <row r="57">
      <c r="A57" s="13">
        <f>IF(G57="Đạt","☑",IF(G57="Lỗi","✗",IF(G57="Bỏ qua","–","☐")))</f>
        <v/>
      </c>
      <c r="B57" s="13" t="n">
        <v>50</v>
      </c>
      <c r="C57" s="13" t="inlineStr">
        <is>
          <t>Web</t>
        </is>
      </c>
      <c r="D57" s="14" t="inlineStr">
        <is>
          <t>Tổng quan › Hao hụt kiểm kê</t>
        </is>
      </c>
      <c r="E57" s="14" t="inlineStr">
        <is>
          <t>Hao hụt theo số lượng</t>
        </is>
      </c>
      <c r="F57" s="13" t="inlineStr">
        <is>
          <t>W-TC-012</t>
        </is>
      </c>
      <c r="G57" s="13">
        <f>IFERROR(INDEX(Web!$L:$L,MATCH(F57,Web!$A:$A,0)),"")</f>
        <v/>
      </c>
      <c r="H57" s="13" t="inlineStr">
        <is>
          <t>Trung bình</t>
        </is>
      </c>
    </row>
    <row r="58">
      <c r="A58" s="13">
        <f>IF(G58="Đạt","☑",IF(G58="Lỗi","✗",IF(G58="Bỏ qua","–","☐")))</f>
        <v/>
      </c>
      <c r="B58" s="13" t="n">
        <v>51</v>
      </c>
      <c r="C58" s="13" t="inlineStr">
        <is>
          <t>Web</t>
        </is>
      </c>
      <c r="D58" s="14" t="inlineStr">
        <is>
          <t>Tổng quan › Hao hụt kiểm kê</t>
        </is>
      </c>
      <c r="E58" s="14" t="inlineStr">
        <is>
          <t>Nút Kiểm kê ngay, link báo cáo</t>
        </is>
      </c>
      <c r="F58" s="13" t="inlineStr">
        <is>
          <t>W-TC-013</t>
        </is>
      </c>
      <c r="G58" s="13">
        <f>IFERROR(INDEX(Web!$L:$L,MATCH(F58,Web!$A:$A,0)),"")</f>
        <v/>
      </c>
      <c r="H58" s="13" t="inlineStr">
        <is>
          <t>Trung bình</t>
        </is>
      </c>
    </row>
    <row r="59">
      <c r="A59" s="13">
        <f>IF(G59="Đạt","☑",IF(G59="Lỗi","✗",IF(G59="Bỏ qua","–","☐")))</f>
        <v/>
      </c>
      <c r="B59" s="13" t="n">
        <v>52</v>
      </c>
      <c r="C59" s="13" t="inlineStr">
        <is>
          <t>Web</t>
        </is>
      </c>
      <c r="D59" s="14" t="inlineStr">
        <is>
          <t>Chi phí hoạt động</t>
        </is>
      </c>
      <c r="E59" s="14" t="inlineStr">
        <is>
          <t>Bảng chi phí theo lý do</t>
        </is>
      </c>
      <c r="F59" s="13" t="inlineStr">
        <is>
          <t>W-TC-014</t>
        </is>
      </c>
      <c r="G59" s="13">
        <f>IFERROR(INDEX(Web!$L:$L,MATCH(F59,Web!$A:$A,0)),"")</f>
        <v/>
      </c>
      <c r="H59" s="13" t="inlineStr">
        <is>
          <t>Cao</t>
        </is>
      </c>
    </row>
    <row r="60">
      <c r="A60" s="13">
        <f>IF(G60="Đạt","☑",IF(G60="Lỗi","✗",IF(G60="Bỏ qua","–","☐")))</f>
        <v/>
      </c>
      <c r="B60" s="13" t="n">
        <v>53</v>
      </c>
      <c r="C60" s="13" t="inlineStr">
        <is>
          <t>Web</t>
        </is>
      </c>
      <c r="D60" s="14" t="inlineStr">
        <is>
          <t>Chi phí hoạt động</t>
        </is>
      </c>
      <c r="E60" s="14" t="inlineStr">
        <is>
          <t>Tính theo tháng ghi nhận, bỏ Chi phí chờ phân bổ</t>
        </is>
      </c>
      <c r="F60" s="13" t="inlineStr">
        <is>
          <t>W-TC-015</t>
        </is>
      </c>
      <c r="G60" s="13">
        <f>IFERROR(INDEX(Web!$L:$L,MATCH(F60,Web!$A:$A,0)),"")</f>
        <v/>
      </c>
      <c r="H60" s="13" t="inlineStr">
        <is>
          <t>Cao</t>
        </is>
      </c>
    </row>
    <row r="61">
      <c r="A61" s="13">
        <f>IF(G61="Đạt","☑",IF(G61="Lỗi","✗",IF(G61="Bỏ qua","–","☐")))</f>
        <v/>
      </c>
      <c r="B61" s="13" t="n">
        <v>54</v>
      </c>
      <c r="C61" s="13" t="inlineStr">
        <is>
          <t>Web</t>
        </is>
      </c>
      <c r="D61" s="14" t="inlineStr">
        <is>
          <t>Chi phí hoạt động</t>
        </is>
      </c>
      <c r="E61" s="14" t="inlineStr">
        <is>
          <t>Xuất Excel, Lập phiếu chi</t>
        </is>
      </c>
      <c r="F61" s="13" t="inlineStr">
        <is>
          <t>W-TC-016</t>
        </is>
      </c>
      <c r="G61" s="13">
        <f>IFERROR(INDEX(Web!$L:$L,MATCH(F61,Web!$A:$A,0)),"")</f>
        <v/>
      </c>
      <c r="H61" s="13" t="inlineStr">
        <is>
          <t>Thấp</t>
        </is>
      </c>
    </row>
    <row r="62">
      <c r="A62" s="13">
        <f>IF(G62="Đạt","☑",IF(G62="Lỗi","✗",IF(G62="Bỏ qua","–","☐")))</f>
        <v/>
      </c>
      <c r="B62" s="13" t="n">
        <v>55</v>
      </c>
      <c r="C62" s="13" t="inlineStr">
        <is>
          <t>Web</t>
        </is>
      </c>
      <c r="D62" s="14" t="inlineStr">
        <is>
          <t>Chi phí NVL</t>
        </is>
      </c>
      <c r="E62" s="14" t="inlineStr">
        <is>
          <t>Xem tất cả cửa hàng</t>
        </is>
      </c>
      <c r="F62" s="13" t="inlineStr">
        <is>
          <t>W-TC-017</t>
        </is>
      </c>
      <c r="G62" s="13">
        <f>IFERROR(INDEX(Web!$L:$L,MATCH(F62,Web!$A:$A,0)),"")</f>
        <v/>
      </c>
      <c r="H62" s="13" t="inlineStr">
        <is>
          <t>Trung bình</t>
        </is>
      </c>
    </row>
    <row r="63">
      <c r="A63" s="13">
        <f>IF(G63="Đạt","☑",IF(G63="Lỗi","✗",IF(G63="Bỏ qua","–","☐")))</f>
        <v/>
      </c>
      <c r="B63" s="13" t="n">
        <v>56</v>
      </c>
      <c r="C63" s="13" t="inlineStr">
        <is>
          <t>Web</t>
        </is>
      </c>
      <c r="D63" s="14" t="inlineStr">
        <is>
          <t>Chi phí NVL</t>
        </is>
      </c>
      <c r="E63" s="14" t="inlineStr">
        <is>
          <t>Cách tính Theo iPOS Inventory</t>
        </is>
      </c>
      <c r="F63" s="13" t="inlineStr">
        <is>
          <t>W-TC-018</t>
        </is>
      </c>
      <c r="G63" s="13">
        <f>IFERROR(INDEX(Web!$L:$L,MATCH(F63,Web!$A:$A,0)),"")</f>
        <v/>
      </c>
      <c r="H63" s="13" t="inlineStr">
        <is>
          <t>Cao</t>
        </is>
      </c>
    </row>
    <row r="64">
      <c r="A64" s="13">
        <f>IF(G64="Đạt","☑",IF(G64="Lỗi","✗",IF(G64="Bỏ qua","–","☐")))</f>
        <v/>
      </c>
      <c r="B64" s="13" t="n">
        <v>57</v>
      </c>
      <c r="C64" s="13" t="inlineStr">
        <is>
          <t>Web</t>
        </is>
      </c>
      <c r="D64" s="14" t="inlineStr">
        <is>
          <t>Chi phí NVL</t>
        </is>
      </c>
      <c r="E64" s="14" t="inlineStr">
        <is>
          <t>Cách tính Nhập tay</t>
        </is>
      </c>
      <c r="F64" s="13" t="inlineStr">
        <is>
          <t>W-TC-019</t>
        </is>
      </c>
      <c r="G64" s="13">
        <f>IFERROR(INDEX(Web!$L:$L,MATCH(F64,Web!$A:$A,0)),"")</f>
        <v/>
      </c>
      <c r="H64" s="13" t="inlineStr">
        <is>
          <t>Cao</t>
        </is>
      </c>
    </row>
    <row r="65">
      <c r="A65" s="13">
        <f>IF(G65="Đạt","☑",IF(G65="Lỗi","✗",IF(G65="Bỏ qua","–","☐")))</f>
        <v/>
      </c>
      <c r="B65" s="13" t="n">
        <v>58</v>
      </c>
      <c r="C65" s="13" t="inlineStr">
        <is>
          <t>Web</t>
        </is>
      </c>
      <c r="D65" s="14" t="inlineStr">
        <is>
          <t>Chi phí NVL</t>
        </is>
      </c>
      <c r="E65" s="14" t="inlineStr">
        <is>
          <t>Cách tính Theo phiếu nhập</t>
        </is>
      </c>
      <c r="F65" s="13" t="inlineStr">
        <is>
          <t>W-TC-020</t>
        </is>
      </c>
      <c r="G65" s="13">
        <f>IFERROR(INDEX(Web!$L:$L,MATCH(F65,Web!$A:$A,0)),"")</f>
        <v/>
      </c>
      <c r="H65" s="13" t="inlineStr">
        <is>
          <t>Trung bình</t>
        </is>
      </c>
    </row>
    <row r="66">
      <c r="A66" s="13">
        <f>IF(G66="Đạt","☑",IF(G66="Lỗi","✗",IF(G66="Bỏ qua","–","☐")))</f>
        <v/>
      </c>
      <c r="B66" s="13" t="n">
        <v>59</v>
      </c>
      <c r="C66" s="13" t="inlineStr">
        <is>
          <t>Web</t>
        </is>
      </c>
      <c r="D66" s="14" t="inlineStr">
        <is>
          <t>Chi phí NVL</t>
        </is>
      </c>
      <c r="E66" s="14" t="inlineStr">
        <is>
          <t>Tháng đã khoá sổ giữ cách cũ, không sửa</t>
        </is>
      </c>
      <c r="F66" s="13" t="inlineStr">
        <is>
          <t>W-TC-021</t>
        </is>
      </c>
      <c r="G66" s="13">
        <f>IFERROR(INDEX(Web!$L:$L,MATCH(F66,Web!$A:$A,0)),"")</f>
        <v/>
      </c>
      <c r="H66" s="13" t="inlineStr">
        <is>
          <t>Cao</t>
        </is>
      </c>
    </row>
    <row r="67">
      <c r="A67" s="13">
        <f>IF(G67="Đạt","☑",IF(G67="Lỗi","✗",IF(G67="Bỏ qua","–","☐")))</f>
        <v/>
      </c>
      <c r="B67" s="13" t="n">
        <v>60</v>
      </c>
      <c r="C67" s="13" t="inlineStr">
        <is>
          <t>Web</t>
        </is>
      </c>
      <c r="D67" s="14" t="inlineStr">
        <is>
          <t>Lịch sử thu chi</t>
        </is>
      </c>
      <c r="E67" s="14" t="inlineStr">
        <is>
          <t>Lọc và đọc lịch sử</t>
        </is>
      </c>
      <c r="F67" s="13" t="inlineStr">
        <is>
          <t>W-TC-022</t>
        </is>
      </c>
      <c r="G67" s="13">
        <f>IFERROR(INDEX(Web!$L:$L,MATCH(F67,Web!$A:$A,0)),"")</f>
        <v/>
      </c>
      <c r="H67" s="13" t="inlineStr">
        <is>
          <t>Cao</t>
        </is>
      </c>
    </row>
    <row r="68">
      <c r="A68" s="13">
        <f>IF(G68="Đạt","☑",IF(G68="Lỗi","✗",IF(G68="Bỏ qua","–","☐")))</f>
        <v/>
      </c>
      <c r="B68" s="13" t="n">
        <v>61</v>
      </c>
      <c r="C68" s="13" t="inlineStr">
        <is>
          <t>App</t>
        </is>
      </c>
      <c r="D68" s="14" t="inlineStr">
        <is>
          <t>Trang chủ</t>
        </is>
      </c>
      <c r="E68" s="14" t="inlineStr">
        <is>
          <t>Bố cục trang chủ Standard</t>
        </is>
      </c>
      <c r="F68" s="13" t="inlineStr">
        <is>
          <t>A-TC-001</t>
        </is>
      </c>
      <c r="G68" s="13">
        <f>IFERROR(INDEX(App!$L:$L,MATCH(F68,App!$A:$A,0)),"")</f>
        <v/>
      </c>
      <c r="H68" s="13" t="inlineStr">
        <is>
          <t>Cao</t>
        </is>
      </c>
    </row>
    <row r="69">
      <c r="A69" s="13">
        <f>IF(G69="Đạt","☑",IF(G69="Lỗi","✗",IF(G69="Bỏ qua","–","☐")))</f>
        <v/>
      </c>
      <c r="B69" s="13" t="n">
        <v>62</v>
      </c>
      <c r="C69" s="13" t="inlineStr">
        <is>
          <t>App</t>
        </is>
      </c>
      <c r="D69" s="14" t="inlineStr">
        <is>
          <t>Trang chủ</t>
        </is>
      </c>
      <c r="E69" s="14" t="inlineStr">
        <is>
          <t>Chip Năm, Tháng, Cửa hàng</t>
        </is>
      </c>
      <c r="F69" s="13" t="inlineStr">
        <is>
          <t>A-TC-002</t>
        </is>
      </c>
      <c r="G69" s="13">
        <f>IFERROR(INDEX(App!$L:$L,MATCH(F69,App!$A:$A,0)),"")</f>
        <v/>
      </c>
      <c r="H69" s="13" t="inlineStr">
        <is>
          <t>Cao</t>
        </is>
      </c>
    </row>
    <row r="70">
      <c r="A70" s="13">
        <f>IF(G70="Đạt","☑",IF(G70="Lỗi","✗",IF(G70="Bỏ qua","–","☐")))</f>
        <v/>
      </c>
      <c r="B70" s="13" t="n">
        <v>63</v>
      </c>
      <c r="C70" s="13" t="inlineStr">
        <is>
          <t>App</t>
        </is>
      </c>
      <c r="D70" s="14" t="inlineStr">
        <is>
          <t>Thao tác nhanh</t>
        </is>
      </c>
      <c r="E70" s="14" t="inlineStr">
        <is>
          <t>5 ô mặc định</t>
        </is>
      </c>
      <c r="F70" s="13" t="inlineStr">
        <is>
          <t>A-TC-003</t>
        </is>
      </c>
      <c r="G70" s="13">
        <f>IFERROR(INDEX(App!$L:$L,MATCH(F70,App!$A:$A,0)),"")</f>
        <v/>
      </c>
      <c r="H70" s="13" t="inlineStr">
        <is>
          <t>Cao</t>
        </is>
      </c>
    </row>
    <row r="71">
      <c r="A71" s="13">
        <f>IF(G71="Đạt","☑",IF(G71="Lỗi","✗",IF(G71="Bỏ qua","–","☐")))</f>
        <v/>
      </c>
      <c r="B71" s="13" t="n">
        <v>64</v>
      </c>
      <c r="C71" s="13" t="inlineStr">
        <is>
          <t>App</t>
        </is>
      </c>
      <c r="D71" s="14" t="inlineStr">
        <is>
          <t>Thao tác nhanh</t>
        </is>
      </c>
      <c r="E71" s="14" t="inlineStr">
        <is>
          <t>Tuỳ chỉnh thao tác nhanh</t>
        </is>
      </c>
      <c r="F71" s="13" t="inlineStr">
        <is>
          <t>A-TC-004</t>
        </is>
      </c>
      <c r="G71" s="13">
        <f>IFERROR(INDEX(App!$L:$L,MATCH(F71,App!$A:$A,0)),"")</f>
        <v/>
      </c>
      <c r="H71" s="13" t="inlineStr">
        <is>
          <t>Trung bình</t>
        </is>
      </c>
    </row>
    <row r="72">
      <c r="A72" s="13">
        <f>IF(G72="Đạt","☑",IF(G72="Lỗi","✗",IF(G72="Bỏ qua","–","☐")))</f>
        <v/>
      </c>
      <c r="B72" s="13" t="n">
        <v>65</v>
      </c>
      <c r="C72" s="13" t="inlineStr">
        <is>
          <t>App</t>
        </is>
      </c>
      <c r="D72" s="14" t="inlineStr">
        <is>
          <t>Nhắc khoá sổ</t>
        </is>
      </c>
      <c r="E72" s="14" t="inlineStr">
        <is>
          <t>Dải nhắc khoá sổ</t>
        </is>
      </c>
      <c r="F72" s="13" t="inlineStr">
        <is>
          <t>A-TC-005</t>
        </is>
      </c>
      <c r="G72" s="13">
        <f>IFERROR(INDEX(App!$L:$L,MATCH(F72,App!$A:$A,0)),"")</f>
        <v/>
      </c>
      <c r="H72" s="13" t="inlineStr">
        <is>
          <t>Trung bình</t>
        </is>
      </c>
    </row>
    <row r="73">
      <c r="A73" s="13">
        <f>IF(G73="Đạt","☑",IF(G73="Lỗi","✗",IF(G73="Bỏ qua","–","☐")))</f>
        <v/>
      </c>
      <c r="B73" s="13" t="n">
        <v>66</v>
      </c>
      <c r="C73" s="13" t="inlineStr">
        <is>
          <t>App</t>
        </is>
      </c>
      <c r="D73" s="14" t="inlineStr">
        <is>
          <t>Kết quả kinh doanh</t>
        </is>
      </c>
      <c r="E73" s="14" t="inlineStr">
        <is>
          <t>Lợi nhuận và các dòng chi phí</t>
        </is>
      </c>
      <c r="F73" s="13" t="inlineStr">
        <is>
          <t>A-TC-006</t>
        </is>
      </c>
      <c r="G73" s="13">
        <f>IFERROR(INDEX(App!$L:$L,MATCH(F73,App!$A:$A,0)),"")</f>
        <v/>
      </c>
      <c r="H73" s="13" t="inlineStr">
        <is>
          <t>Cao</t>
        </is>
      </c>
    </row>
    <row r="74">
      <c r="A74" s="13">
        <f>IF(G74="Đạt","☑",IF(G74="Lỗi","✗",IF(G74="Bỏ qua","–","☐")))</f>
        <v/>
      </c>
      <c r="B74" s="13" t="n">
        <v>67</v>
      </c>
      <c r="C74" s="13" t="inlineStr">
        <is>
          <t>App</t>
        </is>
      </c>
      <c r="D74" s="14" t="inlineStr">
        <is>
          <t>Kết quả kinh doanh</t>
        </is>
      </c>
      <c r="E74" s="14" t="inlineStr">
        <is>
          <t>Các link trong thẻ KQKD</t>
        </is>
      </c>
      <c r="F74" s="13" t="inlineStr">
        <is>
          <t>A-TC-007</t>
        </is>
      </c>
      <c r="G74" s="13">
        <f>IFERROR(INDEX(App!$L:$L,MATCH(F74,App!$A:$A,0)),"")</f>
        <v/>
      </c>
      <c r="H74" s="13" t="inlineStr">
        <is>
          <t>Cao</t>
        </is>
      </c>
    </row>
    <row r="75">
      <c r="A75" s="13">
        <f>IF(G75="Đạt","☑",IF(G75="Lỗi","✗",IF(G75="Bỏ qua","–","☐")))</f>
        <v/>
      </c>
      <c r="B75" s="13" t="n">
        <v>68</v>
      </c>
      <c r="C75" s="13" t="inlineStr">
        <is>
          <t>App</t>
        </is>
      </c>
      <c r="D75" s="14" t="inlineStr">
        <is>
          <t>Quỹ tiền</t>
        </is>
      </c>
      <c r="E75" s="14" t="inlineStr">
        <is>
          <t>Thẻ Quỹ tiền</t>
        </is>
      </c>
      <c r="F75" s="13" t="inlineStr">
        <is>
          <t>A-TC-008</t>
        </is>
      </c>
      <c r="G75" s="13">
        <f>IFERROR(INDEX(App!$L:$L,MATCH(F75,App!$A:$A,0)),"")</f>
        <v/>
      </c>
      <c r="H75" s="13" t="inlineStr">
        <is>
          <t>Cao</t>
        </is>
      </c>
    </row>
    <row r="76">
      <c r="A76" s="13">
        <f>IF(G76="Đạt","☑",IF(G76="Lỗi","✗",IF(G76="Bỏ qua","–","☐")))</f>
        <v/>
      </c>
      <c r="B76" s="13" t="n">
        <v>69</v>
      </c>
      <c r="C76" s="13" t="inlineStr">
        <is>
          <t>App</t>
        </is>
      </c>
      <c r="D76" s="14" t="inlineStr">
        <is>
          <t>Quỹ tiền</t>
        </is>
      </c>
      <c r="E76" s="14" t="inlineStr">
        <is>
          <t>Xem sổ, dòng tiền, tạo quỹ</t>
        </is>
      </c>
      <c r="F76" s="13" t="inlineStr">
        <is>
          <t>A-TC-009</t>
        </is>
      </c>
      <c r="G76" s="13">
        <f>IFERROR(INDEX(App!$L:$L,MATCH(F76,App!$A:$A,0)),"")</f>
        <v/>
      </c>
      <c r="H76" s="13" t="inlineStr">
        <is>
          <t>Trung bình</t>
        </is>
      </c>
    </row>
    <row r="77">
      <c r="A77" s="13">
        <f>IF(G77="Đạt","☑",IF(G77="Lỗi","✗",IF(G77="Bỏ qua","–","☐")))</f>
        <v/>
      </c>
      <c r="B77" s="13" t="n">
        <v>70</v>
      </c>
      <c r="C77" s="13" t="inlineStr">
        <is>
          <t>App</t>
        </is>
      </c>
      <c r="D77" s="14" t="inlineStr">
        <is>
          <t>Mua hàng &amp; công nợ NCC</t>
        </is>
      </c>
      <c r="E77" s="14" t="inlineStr">
        <is>
          <t>Khối mua hàng</t>
        </is>
      </c>
      <c r="F77" s="13" t="inlineStr">
        <is>
          <t>A-TC-010</t>
        </is>
      </c>
      <c r="G77" s="13">
        <f>IFERROR(INDEX(App!$L:$L,MATCH(F77,App!$A:$A,0)),"")</f>
        <v/>
      </c>
      <c r="H77" s="13" t="inlineStr">
        <is>
          <t>Cao</t>
        </is>
      </c>
    </row>
    <row r="78">
      <c r="A78" s="13">
        <f>IF(G78="Đạt","☑",IF(G78="Lỗi","✗",IF(G78="Bỏ qua","–","☐")))</f>
        <v/>
      </c>
      <c r="B78" s="13" t="n">
        <v>71</v>
      </c>
      <c r="C78" s="13" t="inlineStr">
        <is>
          <t>App</t>
        </is>
      </c>
      <c r="D78" s="14" t="inlineStr">
        <is>
          <t>Mua hàng &amp; công nợ NCC</t>
        </is>
      </c>
      <c r="E78" s="14" t="inlineStr">
        <is>
          <t>Nút Mua hàng, Chi trả NCC</t>
        </is>
      </c>
      <c r="F78" s="13" t="inlineStr">
        <is>
          <t>A-TC-011</t>
        </is>
      </c>
      <c r="G78" s="13">
        <f>IFERROR(INDEX(App!$L:$L,MATCH(F78,App!$A:$A,0)),"")</f>
        <v/>
      </c>
      <c r="H78" s="13" t="inlineStr">
        <is>
          <t>Trung bình</t>
        </is>
      </c>
    </row>
    <row r="79">
      <c r="A79" s="13">
        <f>IF(G79="Đạt","☑",IF(G79="Lỗi","✗",IF(G79="Bỏ qua","–","☐")))</f>
        <v/>
      </c>
      <c r="B79" s="13" t="n">
        <v>72</v>
      </c>
      <c r="C79" s="13" t="inlineStr">
        <is>
          <t>App</t>
        </is>
      </c>
      <c r="D79" s="14" t="inlineStr">
        <is>
          <t>Hao hụt kiểm kê</t>
        </is>
      </c>
      <c r="E79" s="14" t="inlineStr">
        <is>
          <t>Khối hao hụt</t>
        </is>
      </c>
      <c r="F79" s="13" t="inlineStr">
        <is>
          <t>A-TC-012</t>
        </is>
      </c>
      <c r="G79" s="13">
        <f>IFERROR(INDEX(App!$L:$L,MATCH(F79,App!$A:$A,0)),"")</f>
        <v/>
      </c>
      <c r="H79" s="13" t="inlineStr">
        <is>
          <t>Trung bình</t>
        </is>
      </c>
    </row>
    <row r="80">
      <c r="A80" s="13">
        <f>IF(G80="Đạt","☑",IF(G80="Lỗi","✗",IF(G80="Bỏ qua","–","☐")))</f>
        <v/>
      </c>
      <c r="B80" s="13" t="n">
        <v>73</v>
      </c>
      <c r="C80" s="13" t="inlineStr">
        <is>
          <t>App</t>
        </is>
      </c>
      <c r="D80" s="14" t="inlineStr">
        <is>
          <t>Chi phí hoạt động</t>
        </is>
      </c>
      <c r="E80" s="14" t="inlineStr">
        <is>
          <t>Danh sách chi phí theo lý do</t>
        </is>
      </c>
      <c r="F80" s="13" t="inlineStr">
        <is>
          <t>A-TC-013</t>
        </is>
      </c>
      <c r="G80" s="13">
        <f>IFERROR(INDEX(App!$L:$L,MATCH(F80,App!$A:$A,0)),"")</f>
        <v/>
      </c>
      <c r="H80" s="13" t="inlineStr">
        <is>
          <t>Cao</t>
        </is>
      </c>
    </row>
    <row r="81">
      <c r="A81" s="13">
        <f>IF(G81="Đạt","☑",IF(G81="Lỗi","✗",IF(G81="Bỏ qua","–","☐")))</f>
        <v/>
      </c>
      <c r="B81" s="13" t="n">
        <v>74</v>
      </c>
      <c r="C81" s="13" t="inlineStr">
        <is>
          <t>App</t>
        </is>
      </c>
      <c r="D81" s="14" t="inlineStr">
        <is>
          <t>Chi phí hoạt động</t>
        </is>
      </c>
      <c r="E81" s="14" t="inlineStr">
        <is>
          <t>Lập phiếu chi</t>
        </is>
      </c>
      <c r="F81" s="13" t="inlineStr">
        <is>
          <t>A-TC-014</t>
        </is>
      </c>
      <c r="G81" s="13">
        <f>IFERROR(INDEX(App!$L:$L,MATCH(F81,App!$A:$A,0)),"")</f>
        <v/>
      </c>
      <c r="H81" s="13" t="inlineStr">
        <is>
          <t>Trung bình</t>
        </is>
      </c>
    </row>
    <row r="82">
      <c r="A82" s="13">
        <f>IF(G82="Đạt","☑",IF(G82="Lỗi","✗",IF(G82="Bỏ qua","–","☐")))</f>
        <v/>
      </c>
      <c r="B82" s="13" t="n">
        <v>75</v>
      </c>
      <c r="C82" s="13" t="inlineStr">
        <is>
          <t>App</t>
        </is>
      </c>
      <c r="D82" s="14" t="inlineStr">
        <is>
          <t>Chi phí NVL</t>
        </is>
      </c>
      <c r="E82" s="14" t="inlineStr">
        <is>
          <t>Xem tất cả cửa hàng</t>
        </is>
      </c>
      <c r="F82" s="13" t="inlineStr">
        <is>
          <t>A-TC-015</t>
        </is>
      </c>
      <c r="G82" s="13">
        <f>IFERROR(INDEX(App!$L:$L,MATCH(F82,App!$A:$A,0)),"")</f>
        <v/>
      </c>
      <c r="H82" s="13" t="inlineStr">
        <is>
          <t>Trung bình</t>
        </is>
      </c>
    </row>
    <row r="83">
      <c r="A83" s="13">
        <f>IF(G83="Đạt","☑",IF(G83="Lỗi","✗",IF(G83="Bỏ qua","–","☐")))</f>
        <v/>
      </c>
      <c r="B83" s="13" t="n">
        <v>76</v>
      </c>
      <c r="C83" s="13" t="inlineStr">
        <is>
          <t>App</t>
        </is>
      </c>
      <c r="D83" s="14" t="inlineStr">
        <is>
          <t>Chi phí NVL</t>
        </is>
      </c>
      <c r="E83" s="14" t="inlineStr">
        <is>
          <t>Đổi cách tính</t>
        </is>
      </c>
      <c r="F83" s="13" t="inlineStr">
        <is>
          <t>A-TC-016</t>
        </is>
      </c>
      <c r="G83" s="13">
        <f>IFERROR(INDEX(App!$L:$L,MATCH(F83,App!$A:$A,0)),"")</f>
        <v/>
      </c>
      <c r="H83" s="13" t="inlineStr">
        <is>
          <t>Cao</t>
        </is>
      </c>
    </row>
    <row r="84">
      <c r="A84" s="13">
        <f>IF(G84="Đạt","☑",IF(G84="Lỗi","✗",IF(G84="Bỏ qua","–","☐")))</f>
        <v/>
      </c>
      <c r="B84" s="13" t="n">
        <v>77</v>
      </c>
      <c r="C84" s="13" t="inlineStr">
        <is>
          <t>App</t>
        </is>
      </c>
      <c r="D84" s="14" t="inlineStr">
        <is>
          <t>Chi phí NVL</t>
        </is>
      </c>
      <c r="E84" s="14" t="inlineStr">
        <is>
          <t>Tháng đã khoá sổ</t>
        </is>
      </c>
      <c r="F84" s="13" t="inlineStr">
        <is>
          <t>A-TC-017</t>
        </is>
      </c>
      <c r="G84" s="13">
        <f>IFERROR(INDEX(App!$L:$L,MATCH(F84,App!$A:$A,0)),"")</f>
        <v/>
      </c>
      <c r="H84" s="13" t="inlineStr">
        <is>
          <t>Cao</t>
        </is>
      </c>
    </row>
    <row r="85">
      <c r="A85" s="13">
        <f>IF(G85="Đạt","☑",IF(G85="Lỗi","✗",IF(G85="Bỏ qua","–","☐")))</f>
        <v/>
      </c>
      <c r="B85" s="13" t="n">
        <v>78</v>
      </c>
      <c r="C85" s="13" t="inlineStr">
        <is>
          <t>App</t>
        </is>
      </c>
      <c r="D85" s="14" t="inlineStr">
        <is>
          <t>Lịch sử thu chi</t>
        </is>
      </c>
      <c r="E85" s="14" t="inlineStr">
        <is>
          <t>Lịch sử một quỹ</t>
        </is>
      </c>
      <c r="F85" s="13" t="inlineStr">
        <is>
          <t>A-TC-018</t>
        </is>
      </c>
      <c r="G85" s="13">
        <f>IFERROR(INDEX(App!$L:$L,MATCH(F85,App!$A:$A,0)),"")</f>
        <v/>
      </c>
      <c r="H85" s="13" t="inlineStr">
        <is>
          <t>Cao</t>
        </is>
      </c>
    </row>
    <row r="86">
      <c r="A86" s="13">
        <f>IF(G86="Đạt","☑",IF(G86="Lỗi","✗",IF(G86="Bỏ qua","–","☐")))</f>
        <v/>
      </c>
      <c r="B86" s="13" t="n">
        <v>79</v>
      </c>
      <c r="C86" s="13" t="inlineStr">
        <is>
          <t>App</t>
        </is>
      </c>
      <c r="D86" s="14" t="inlineStr">
        <is>
          <t>Lịch sử thu chi</t>
        </is>
      </c>
      <c r="E86" s="14" t="inlineStr">
        <is>
          <t>Nút Thu tiền, Chi tiền ghim đáy</t>
        </is>
      </c>
      <c r="F86" s="13" t="inlineStr">
        <is>
          <t>A-TC-019</t>
        </is>
      </c>
      <c r="G86" s="13">
        <f>IFERROR(INDEX(App!$L:$L,MATCH(F86,App!$A:$A,0)),"")</f>
        <v/>
      </c>
      <c r="H86" s="13" t="inlineStr">
        <is>
          <t>Trung bình</t>
        </is>
      </c>
    </row>
    <row r="87">
      <c r="A87" s="12" t="inlineStr">
        <is>
          <t>Danh mục</t>
        </is>
      </c>
      <c r="B87" s="12" t="n"/>
      <c r="C87" s="12" t="n"/>
      <c r="D87" s="12" t="n"/>
      <c r="E87" s="12" t="n"/>
      <c r="F87" s="12" t="n"/>
      <c r="G87" s="12">
        <f>COUNTIF(G88:G103,"Đạt")&amp;"/16 đạt"</f>
        <v/>
      </c>
      <c r="H87" s="12" t="n"/>
    </row>
    <row r="88">
      <c r="A88" s="13">
        <f>IF(G88="Đạt","☑",IF(G88="Lỗi","✗",IF(G88="Bỏ qua","–","☐")))</f>
        <v/>
      </c>
      <c r="B88" s="13" t="n">
        <v>80</v>
      </c>
      <c r="C88" s="13" t="inlineStr">
        <is>
          <t>Web</t>
        </is>
      </c>
      <c r="D88" s="14" t="inlineStr">
        <is>
          <t>Cửa hàng</t>
        </is>
      </c>
      <c r="E88" s="14" t="inlineStr">
        <is>
          <t>Mỗi cửa hàng một kho, không khai kho</t>
        </is>
      </c>
      <c r="F88" s="13" t="inlineStr">
        <is>
          <t>W-DM-001</t>
        </is>
      </c>
      <c r="G88" s="13">
        <f>IFERROR(INDEX(Web!$L:$L,MATCH(F88,Web!$A:$A,0)),"")</f>
        <v/>
      </c>
      <c r="H88" s="13" t="inlineStr">
        <is>
          <t>Cao</t>
        </is>
      </c>
    </row>
    <row r="89">
      <c r="A89" s="13">
        <f>IF(G89="Đạt","☑",IF(G89="Lỗi","✗",IF(G89="Bỏ qua","–","☐")))</f>
        <v/>
      </c>
      <c r="B89" s="13" t="n">
        <v>81</v>
      </c>
      <c r="C89" s="13" t="inlineStr">
        <is>
          <t>Web</t>
        </is>
      </c>
      <c r="D89" s="14" t="inlineStr">
        <is>
          <t>Cửa hàng</t>
        </is>
      </c>
      <c r="E89" s="14" t="inlineStr">
        <is>
          <t>Thêm cửa hàng từ FABi</t>
        </is>
      </c>
      <c r="F89" s="13" t="inlineStr">
        <is>
          <t>W-DM-002</t>
        </is>
      </c>
      <c r="G89" s="13">
        <f>IFERROR(INDEX(Web!$L:$L,MATCH(F89,Web!$A:$A,0)),"")</f>
        <v/>
      </c>
      <c r="H89" s="13" t="inlineStr">
        <is>
          <t>Trung bình</t>
        </is>
      </c>
    </row>
    <row r="90">
      <c r="A90" s="13">
        <f>IF(G90="Đạt","☑",IF(G90="Lỗi","✗",IF(G90="Bỏ qua","–","☐")))</f>
        <v/>
      </c>
      <c r="B90" s="13" t="n">
        <v>82</v>
      </c>
      <c r="C90" s="13" t="inlineStr">
        <is>
          <t>Web</t>
        </is>
      </c>
      <c r="D90" s="14" t="inlineStr">
        <is>
          <t>Hàng hoá</t>
        </is>
      </c>
      <c r="E90" s="14" t="inlineStr">
        <is>
          <t>Form hàng hoá gọn ở gói Standard</t>
        </is>
      </c>
      <c r="F90" s="13" t="inlineStr">
        <is>
          <t>W-DM-003</t>
        </is>
      </c>
      <c r="G90" s="13">
        <f>IFERROR(INDEX(Web!$L:$L,MATCH(F90,Web!$A:$A,0)),"")</f>
        <v/>
      </c>
      <c r="H90" s="13" t="inlineStr">
        <is>
          <t>Cao</t>
        </is>
      </c>
    </row>
    <row r="91">
      <c r="A91" s="13">
        <f>IF(G91="Đạt","☑",IF(G91="Lỗi","✗",IF(G91="Bỏ qua","–","☐")))</f>
        <v/>
      </c>
      <c r="B91" s="13" t="n">
        <v>83</v>
      </c>
      <c r="C91" s="13" t="inlineStr">
        <is>
          <t>Web</t>
        </is>
      </c>
      <c r="D91" s="14" t="inlineStr">
        <is>
          <t>Hàng hoá</t>
        </is>
      </c>
      <c r="E91" s="14" t="inlineStr">
        <is>
          <t>Theo dõi tồn kho, ngành mặc định</t>
        </is>
      </c>
      <c r="F91" s="13" t="inlineStr">
        <is>
          <t>W-DM-004</t>
        </is>
      </c>
      <c r="G91" s="13">
        <f>IFERROR(INDEX(Web!$L:$L,MATCH(F91,Web!$A:$A,0)),"")</f>
        <v/>
      </c>
      <c r="H91" s="13" t="inlineStr">
        <is>
          <t>Trung bình</t>
        </is>
      </c>
    </row>
    <row r="92">
      <c r="A92" s="13">
        <f>IF(G92="Đạt","☑",IF(G92="Lỗi","✗",IF(G92="Bỏ qua","–","☐")))</f>
        <v/>
      </c>
      <c r="B92" s="13" t="n">
        <v>84</v>
      </c>
      <c r="C92" s="13" t="inlineStr">
        <is>
          <t>Web</t>
        </is>
      </c>
      <c r="D92" s="14" t="inlineStr">
        <is>
          <t>Hàng hoá</t>
        </is>
      </c>
      <c r="E92" s="14" t="inlineStr">
        <is>
          <t>Bắt buộc, trùng mã</t>
        </is>
      </c>
      <c r="F92" s="13" t="inlineStr">
        <is>
          <t>W-DM-005</t>
        </is>
      </c>
      <c r="G92" s="13">
        <f>IFERROR(INDEX(Web!$L:$L,MATCH(F92,Web!$A:$A,0)),"")</f>
        <v/>
      </c>
      <c r="H92" s="13" t="inlineStr">
        <is>
          <t>Trung bình</t>
        </is>
      </c>
    </row>
    <row r="93">
      <c r="A93" s="13">
        <f>IF(G93="Đạt","☑",IF(G93="Lỗi","✗",IF(G93="Bỏ qua","–","☐")))</f>
        <v/>
      </c>
      <c r="B93" s="13" t="n">
        <v>85</v>
      </c>
      <c r="C93" s="13" t="inlineStr">
        <is>
          <t>Web</t>
        </is>
      </c>
      <c r="D93" s="14" t="inlineStr">
        <is>
          <t>Nhóm hàng hoá</t>
        </is>
      </c>
      <c r="E93" s="14" t="inlineStr">
        <is>
          <t>Thêm tay, đồng bộ FABi</t>
        </is>
      </c>
      <c r="F93" s="13" t="inlineStr">
        <is>
          <t>W-DM-006</t>
        </is>
      </c>
      <c r="G93" s="13">
        <f>IFERROR(INDEX(Web!$L:$L,MATCH(F93,Web!$A:$A,0)),"")</f>
        <v/>
      </c>
      <c r="H93" s="13" t="inlineStr">
        <is>
          <t>Trung bình</t>
        </is>
      </c>
    </row>
    <row r="94">
      <c r="A94" s="13">
        <f>IF(G94="Đạt","☑",IF(G94="Lỗi","✗",IF(G94="Bỏ qua","–","☐")))</f>
        <v/>
      </c>
      <c r="B94" s="13" t="n">
        <v>86</v>
      </c>
      <c r="C94" s="13" t="inlineStr">
        <is>
          <t>Web</t>
        </is>
      </c>
      <c r="D94" s="14" t="inlineStr">
        <is>
          <t>Khách hàng, NCC, nhân viên</t>
        </is>
      </c>
      <c r="E94" s="14" t="inlineStr">
        <is>
          <t>Form đối tượng gọn</t>
        </is>
      </c>
      <c r="F94" s="13" t="inlineStr">
        <is>
          <t>W-DM-007</t>
        </is>
      </c>
      <c r="G94" s="13">
        <f>IFERROR(INDEX(Web!$L:$L,MATCH(F94,Web!$A:$A,0)),"")</f>
        <v/>
      </c>
      <c r="H94" s="13" t="inlineStr">
        <is>
          <t>Trung bình</t>
        </is>
      </c>
    </row>
    <row r="95">
      <c r="A95" s="13">
        <f>IF(G95="Đạt","☑",IF(G95="Lỗi","✗",IF(G95="Bỏ qua","–","☐")))</f>
        <v/>
      </c>
      <c r="B95" s="13" t="n">
        <v>87</v>
      </c>
      <c r="C95" s="13" t="inlineStr">
        <is>
          <t>Web</t>
        </is>
      </c>
      <c r="D95" s="14" t="inlineStr">
        <is>
          <t>Khách hàng, NCC, nhân viên</t>
        </is>
      </c>
      <c r="E95" s="14" t="inlineStr">
        <is>
          <t>Bắt buộc, trùng mã, xoá đang dùng</t>
        </is>
      </c>
      <c r="F95" s="13" t="inlineStr">
        <is>
          <t>W-DM-008</t>
        </is>
      </c>
      <c r="G95" s="13">
        <f>IFERROR(INDEX(Web!$L:$L,MATCH(F95,Web!$A:$A,0)),"")</f>
        <v/>
      </c>
      <c r="H95" s="13" t="inlineStr">
        <is>
          <t>Trung bình</t>
        </is>
      </c>
    </row>
    <row r="96">
      <c r="A96" s="13">
        <f>IF(G96="Đạt","☑",IF(G96="Lỗi","✗",IF(G96="Bỏ qua","–","☐")))</f>
        <v/>
      </c>
      <c r="B96" s="13" t="n">
        <v>88</v>
      </c>
      <c r="C96" s="13" t="inlineStr">
        <is>
          <t>Web</t>
        </is>
      </c>
      <c r="D96" s="14" t="inlineStr">
        <is>
          <t>Nhóm đối tượng</t>
        </is>
      </c>
      <c r="E96" s="14" t="inlineStr">
        <is>
          <t>Thêm, sửa, xoá nhóm đối tượng</t>
        </is>
      </c>
      <c r="F96" s="13" t="inlineStr">
        <is>
          <t>W-DM-009</t>
        </is>
      </c>
      <c r="G96" s="13">
        <f>IFERROR(INDEX(Web!$L:$L,MATCH(F96,Web!$A:$A,0)),"")</f>
        <v/>
      </c>
      <c r="H96" s="13" t="inlineStr">
        <is>
          <t>Thấp</t>
        </is>
      </c>
    </row>
    <row r="97">
      <c r="A97" s="13">
        <f>IF(G97="Đạt","☑",IF(G97="Lỗi","✗",IF(G97="Bỏ qua","–","☐")))</f>
        <v/>
      </c>
      <c r="B97" s="13" t="n">
        <v>89</v>
      </c>
      <c r="C97" s="13" t="inlineStr">
        <is>
          <t>Web</t>
        </is>
      </c>
      <c r="D97" s="14" t="inlineStr">
        <is>
          <t>Kho</t>
        </is>
      </c>
      <c r="E97" s="14" t="inlineStr">
        <is>
          <t>Kho chỉ xem</t>
        </is>
      </c>
      <c r="F97" s="13" t="inlineStr">
        <is>
          <t>W-DM-010</t>
        </is>
      </c>
      <c r="G97" s="13">
        <f>IFERROR(INDEX(Web!$L:$L,MATCH(F97,Web!$A:$A,0)),"")</f>
        <v/>
      </c>
      <c r="H97" s="13" t="inlineStr">
        <is>
          <t>Trung bình</t>
        </is>
      </c>
    </row>
    <row r="98">
      <c r="A98" s="13">
        <f>IF(G98="Đạt","☑",IF(G98="Lỗi","✗",IF(G98="Bỏ qua","–","☐")))</f>
        <v/>
      </c>
      <c r="B98" s="13" t="n">
        <v>90</v>
      </c>
      <c r="C98" s="13" t="inlineStr">
        <is>
          <t>Web</t>
        </is>
      </c>
      <c r="D98" s="14" t="inlineStr">
        <is>
          <t>Quỹ tiền</t>
        </is>
      </c>
      <c r="E98" s="14" t="inlineStr">
        <is>
          <t>Khai số dư ban đầu tại danh mục</t>
        </is>
      </c>
      <c r="F98" s="13" t="inlineStr">
        <is>
          <t>W-DM-011</t>
        </is>
      </c>
      <c r="G98" s="13">
        <f>IFERROR(INDEX(Web!$L:$L,MATCH(F98,Web!$A:$A,0)),"")</f>
        <v/>
      </c>
      <c r="H98" s="13" t="inlineStr">
        <is>
          <t>Cao</t>
        </is>
      </c>
    </row>
    <row r="99">
      <c r="A99" s="13">
        <f>IF(G99="Đạt","☑",IF(G99="Lỗi","✗",IF(G99="Bỏ qua","–","☐")))</f>
        <v/>
      </c>
      <c r="B99" s="13" t="n">
        <v>91</v>
      </c>
      <c r="C99" s="13" t="inlineStr">
        <is>
          <t>Web</t>
        </is>
      </c>
      <c r="D99" s="14" t="inlineStr">
        <is>
          <t>Quỹ tiền</t>
        </is>
      </c>
      <c r="E99" s="14" t="inlineStr">
        <is>
          <t>Gắn phương thức thanh toán để nhận phiếu FABi</t>
        </is>
      </c>
      <c r="F99" s="13" t="inlineStr">
        <is>
          <t>W-DM-012</t>
        </is>
      </c>
      <c r="G99" s="13">
        <f>IFERROR(INDEX(Web!$L:$L,MATCH(F99,Web!$A:$A,0)),"")</f>
        <v/>
      </c>
      <c r="H99" s="13" t="inlineStr">
        <is>
          <t>Cao</t>
        </is>
      </c>
    </row>
    <row r="100">
      <c r="A100" s="13">
        <f>IF(G100="Đạt","☑",IF(G100="Lỗi","✗",IF(G100="Bỏ qua","–","☐")))</f>
        <v/>
      </c>
      <c r="B100" s="13" t="n">
        <v>92</v>
      </c>
      <c r="C100" s="13" t="inlineStr">
        <is>
          <t>Web</t>
        </is>
      </c>
      <c r="D100" s="14" t="inlineStr">
        <is>
          <t>Phương thức thanh toán</t>
        </is>
      </c>
      <c r="E100" s="14" t="inlineStr">
        <is>
          <t>Danh mục lấy từ FABi, chỉ xem</t>
        </is>
      </c>
      <c r="F100" s="13" t="inlineStr">
        <is>
          <t>W-DM-013</t>
        </is>
      </c>
      <c r="G100" s="13">
        <f>IFERROR(INDEX(Web!$L:$L,MATCH(F100,Web!$A:$A,0)),"")</f>
        <v/>
      </c>
      <c r="H100" s="13" t="inlineStr">
        <is>
          <t>Trung bình</t>
        </is>
      </c>
    </row>
    <row r="101">
      <c r="A101" s="13">
        <f>IF(G101="Đạt","☑",IF(G101="Lỗi","✗",IF(G101="Bỏ qua","–","☐")))</f>
        <v/>
      </c>
      <c r="B101" s="13" t="n">
        <v>93</v>
      </c>
      <c r="C101" s="13" t="inlineStr">
        <is>
          <t>Web</t>
        </is>
      </c>
      <c r="D101" s="14" t="inlineStr">
        <is>
          <t>Lý do nghiệp vụ</t>
        </is>
      </c>
      <c r="E101" s="14" t="inlineStr">
        <is>
          <t>Chỉ lý do thu, chi; tích là chi phí</t>
        </is>
      </c>
      <c r="F101" s="13" t="inlineStr">
        <is>
          <t>W-DM-014</t>
        </is>
      </c>
      <c r="G101" s="13">
        <f>IFERROR(INDEX(Web!$L:$L,MATCH(F101,Web!$A:$A,0)),"")</f>
        <v/>
      </c>
      <c r="H101" s="13" t="inlineStr">
        <is>
          <t>Cao</t>
        </is>
      </c>
    </row>
    <row r="102">
      <c r="A102" s="13">
        <f>IF(G102="Đạt","☑",IF(G102="Lỗi","✗",IF(G102="Bỏ qua","–","☐")))</f>
        <v/>
      </c>
      <c r="B102" s="13" t="n">
        <v>94</v>
      </c>
      <c r="C102" s="13" t="inlineStr">
        <is>
          <t>Web</t>
        </is>
      </c>
      <c r="D102" s="14" t="inlineStr">
        <is>
          <t>Nhóm lý do nghiệp vụ</t>
        </is>
      </c>
      <c r="E102" s="14" t="inlineStr">
        <is>
          <t>6 nhóm chi phí theo S2c-HKD, chỉ xem</t>
        </is>
      </c>
      <c r="F102" s="13" t="inlineStr">
        <is>
          <t>W-DM-015</t>
        </is>
      </c>
      <c r="G102" s="13">
        <f>IFERROR(INDEX(Web!$L:$L,MATCH(F102,Web!$A:$A,0)),"")</f>
        <v/>
      </c>
      <c r="H102" s="13" t="inlineStr">
        <is>
          <t>Trung bình</t>
        </is>
      </c>
    </row>
    <row r="103">
      <c r="A103" s="13">
        <f>IF(G103="Đạt","☑",IF(G103="Lỗi","✗",IF(G103="Bỏ qua","–","☐")))</f>
        <v/>
      </c>
      <c r="B103" s="13" t="n">
        <v>95</v>
      </c>
      <c r="C103" s="13" t="inlineStr">
        <is>
          <t>Web</t>
        </is>
      </c>
      <c r="D103" s="14" t="inlineStr">
        <is>
          <t>Danh mục (chung)</t>
        </is>
      </c>
      <c r="E103" s="14" t="inlineStr">
        <is>
          <t>Danh mục ẩn ở gói Standard</t>
        </is>
      </c>
      <c r="F103" s="13" t="inlineStr">
        <is>
          <t>W-DM-016</t>
        </is>
      </c>
      <c r="G103" s="13">
        <f>IFERROR(INDEX(Web!$L:$L,MATCH(F103,Web!$A:$A,0)),"")</f>
        <v/>
      </c>
      <c r="H103" s="13" t="inlineStr">
        <is>
          <t>Trung bình</t>
        </is>
      </c>
    </row>
    <row r="104">
      <c r="A104" s="12" t="inlineStr">
        <is>
          <t>Thu chi</t>
        </is>
      </c>
      <c r="B104" s="12" t="n"/>
      <c r="C104" s="12" t="n"/>
      <c r="D104" s="12" t="n"/>
      <c r="E104" s="12" t="n"/>
      <c r="F104" s="12" t="n"/>
      <c r="G104" s="12">
        <f>COUNTIF(G105:G140,"Đạt")&amp;"/36 đạt"</f>
        <v/>
      </c>
      <c r="H104" s="12" t="n"/>
    </row>
    <row r="105">
      <c r="A105" s="13">
        <f>IF(G105="Đạt","☑",IF(G105="Lỗi","✗",IF(G105="Bỏ qua","–","☐")))</f>
        <v/>
      </c>
      <c r="B105" s="13" t="n">
        <v>96</v>
      </c>
      <c r="C105" s="13" t="inlineStr">
        <is>
          <t>Web</t>
        </is>
      </c>
      <c r="D105" s="14" t="inlineStr">
        <is>
          <t>Quy trình</t>
        </is>
      </c>
      <c r="E105" s="14" t="inlineStr">
        <is>
          <t>Sơ đồ quy trình thu chi</t>
        </is>
      </c>
      <c r="F105" s="13" t="inlineStr">
        <is>
          <t>W-TT-001</t>
        </is>
      </c>
      <c r="G105" s="13">
        <f>IFERROR(INDEX(Web!$L:$L,MATCH(F105,Web!$A:$A,0)),"")</f>
        <v/>
      </c>
      <c r="H105" s="13" t="inlineStr">
        <is>
          <t>Thấp</t>
        </is>
      </c>
    </row>
    <row r="106">
      <c r="A106" s="13">
        <f>IF(G106="Đạt","☑",IF(G106="Lỗi","✗",IF(G106="Bỏ qua","–","☐")))</f>
        <v/>
      </c>
      <c r="B106" s="13" t="n">
        <v>97</v>
      </c>
      <c r="C106" s="13" t="inlineStr">
        <is>
          <t>Web</t>
        </is>
      </c>
      <c r="D106" s="14" t="inlineStr">
        <is>
          <t>Phiếu thu chi 2.1.1</t>
        </is>
      </c>
      <c r="E106" s="14" t="inlineStr">
        <is>
          <t>3 tab loại phiếu</t>
        </is>
      </c>
      <c r="F106" s="13" t="inlineStr">
        <is>
          <t>W-TT-002</t>
        </is>
      </c>
      <c r="G106" s="13">
        <f>IFERROR(INDEX(Web!$L:$L,MATCH(F106,Web!$A:$A,0)),"")</f>
        <v/>
      </c>
      <c r="H106" s="13" t="inlineStr">
        <is>
          <t>Cao</t>
        </is>
      </c>
    </row>
    <row r="107">
      <c r="A107" s="13">
        <f>IF(G107="Đạt","☑",IF(G107="Lỗi","✗",IF(G107="Bỏ qua","–","☐")))</f>
        <v/>
      </c>
      <c r="B107" s="13" t="n">
        <v>98</v>
      </c>
      <c r="C107" s="13" t="inlineStr">
        <is>
          <t>Web</t>
        </is>
      </c>
      <c r="D107" s="14" t="inlineStr">
        <is>
          <t>Phiếu thu chi 2.1.1</t>
        </is>
      </c>
      <c r="E107" s="14" t="inlineStr">
        <is>
          <t>Lập phiếu thu tiền mặt</t>
        </is>
      </c>
      <c r="F107" s="13" t="inlineStr">
        <is>
          <t>W-TT-003</t>
        </is>
      </c>
      <c r="G107" s="13">
        <f>IFERROR(INDEX(Web!$L:$L,MATCH(F107,Web!$A:$A,0)),"")</f>
        <v/>
      </c>
      <c r="H107" s="13" t="inlineStr">
        <is>
          <t>Cao</t>
        </is>
      </c>
    </row>
    <row r="108">
      <c r="A108" s="13">
        <f>IF(G108="Đạt","☑",IF(G108="Lỗi","✗",IF(G108="Bỏ qua","–","☐")))</f>
        <v/>
      </c>
      <c r="B108" s="13" t="n">
        <v>99</v>
      </c>
      <c r="C108" s="13" t="inlineStr">
        <is>
          <t>Web</t>
        </is>
      </c>
      <c r="D108" s="14" t="inlineStr">
        <is>
          <t>Phiếu thu chi 2.1.1</t>
        </is>
      </c>
      <c r="E108" s="14" t="inlineStr">
        <is>
          <t>Quỹ theo loại phiếu và cửa hàng</t>
        </is>
      </c>
      <c r="F108" s="13" t="inlineStr">
        <is>
          <t>W-TT-004</t>
        </is>
      </c>
      <c r="G108" s="13">
        <f>IFERROR(INDEX(Web!$L:$L,MATCH(F108,Web!$A:$A,0)),"")</f>
        <v/>
      </c>
      <c r="H108" s="13" t="inlineStr">
        <is>
          <t>Cao</t>
        </is>
      </c>
    </row>
    <row r="109">
      <c r="A109" s="13">
        <f>IF(G109="Đạt","☑",IF(G109="Lỗi","✗",IF(G109="Bỏ qua","–","☐")))</f>
        <v/>
      </c>
      <c r="B109" s="13" t="n">
        <v>100</v>
      </c>
      <c r="C109" s="13" t="inlineStr">
        <is>
          <t>Web</t>
        </is>
      </c>
      <c r="D109" s="14" t="inlineStr">
        <is>
          <t>Phiếu thu chi 2.1.1</t>
        </is>
      </c>
      <c r="E109" s="14" t="inlineStr">
        <is>
          <t>Lý do, đối tượng ở đầu phiếu</t>
        </is>
      </c>
      <c r="F109" s="13" t="inlineStr">
        <is>
          <t>W-TT-005</t>
        </is>
      </c>
      <c r="G109" s="13">
        <f>IFERROR(INDEX(Web!$L:$L,MATCH(F109,Web!$A:$A,0)),"")</f>
        <v/>
      </c>
      <c r="H109" s="13" t="inlineStr">
        <is>
          <t>Trung bình</t>
        </is>
      </c>
    </row>
    <row r="110">
      <c r="A110" s="13">
        <f>IF(G110="Đạt","☑",IF(G110="Lỗi","✗",IF(G110="Bỏ qua","–","☐")))</f>
        <v/>
      </c>
      <c r="B110" s="13" t="n">
        <v>101</v>
      </c>
      <c r="C110" s="13" t="inlineStr">
        <is>
          <t>Web</t>
        </is>
      </c>
      <c r="D110" s="14" t="inlineStr">
        <is>
          <t>Phiếu thu chi 2.1.1</t>
        </is>
      </c>
      <c r="E110" s="14" t="inlineStr">
        <is>
          <t>Đối tượng bắt buộc theo lý do</t>
        </is>
      </c>
      <c r="F110" s="13" t="inlineStr">
        <is>
          <t>W-TT-006</t>
        </is>
      </c>
      <c r="G110" s="13">
        <f>IFERROR(INDEX(Web!$L:$L,MATCH(F110,Web!$A:$A,0)),"")</f>
        <v/>
      </c>
      <c r="H110" s="13" t="inlineStr">
        <is>
          <t>Cao</t>
        </is>
      </c>
    </row>
    <row r="111">
      <c r="A111" s="13">
        <f>IF(G111="Đạt","☑",IF(G111="Lỗi","✗",IF(G111="Bỏ qua","–","☐")))</f>
        <v/>
      </c>
      <c r="B111" s="13" t="n">
        <v>102</v>
      </c>
      <c r="C111" s="13" t="inlineStr">
        <is>
          <t>Web</t>
        </is>
      </c>
      <c r="D111" s="14" t="inlineStr">
        <is>
          <t>Phiếu thu chi 2.1.1</t>
        </is>
      </c>
      <c r="E111" s="14" t="inlineStr">
        <is>
          <t>Số tiền, ngày chứng từ</t>
        </is>
      </c>
      <c r="F111" s="13" t="inlineStr">
        <is>
          <t>W-TT-007</t>
        </is>
      </c>
      <c r="G111" s="13">
        <f>IFERROR(INDEX(Web!$L:$L,MATCH(F111,Web!$A:$A,0)),"")</f>
        <v/>
      </c>
      <c r="H111" s="13" t="inlineStr">
        <is>
          <t>Cao</t>
        </is>
      </c>
    </row>
    <row r="112">
      <c r="A112" s="13">
        <f>IF(G112="Đạt","☑",IF(G112="Lỗi","✗",IF(G112="Bỏ qua","–","☐")))</f>
        <v/>
      </c>
      <c r="B112" s="13" t="n">
        <v>103</v>
      </c>
      <c r="C112" s="13" t="inlineStr">
        <is>
          <t>Web</t>
        </is>
      </c>
      <c r="D112" s="14" t="inlineStr">
        <is>
          <t>Phiếu thu chi 2.1.1</t>
        </is>
      </c>
      <c r="E112" s="14" t="inlineStr">
        <is>
          <t>Tháng ghi nhận chi phí</t>
        </is>
      </c>
      <c r="F112" s="13" t="inlineStr">
        <is>
          <t>W-TT-008</t>
        </is>
      </c>
      <c r="G112" s="13">
        <f>IFERROR(INDEX(Web!$L:$L,MATCH(F112,Web!$A:$A,0)),"")</f>
        <v/>
      </c>
      <c r="H112" s="13" t="inlineStr">
        <is>
          <t>Cao</t>
        </is>
      </c>
    </row>
    <row r="113">
      <c r="A113" s="13">
        <f>IF(G113="Đạt","☑",IF(G113="Lỗi","✗",IF(G113="Bỏ qua","–","☐")))</f>
        <v/>
      </c>
      <c r="B113" s="13" t="n">
        <v>104</v>
      </c>
      <c r="C113" s="13" t="inlineStr">
        <is>
          <t>Web</t>
        </is>
      </c>
      <c r="D113" s="14" t="inlineStr">
        <is>
          <t>Phiếu thu chi 2.1.1</t>
        </is>
      </c>
      <c r="E113" s="14" t="inlineStr">
        <is>
          <t>Chuyển quỹ</t>
        </is>
      </c>
      <c r="F113" s="13" t="inlineStr">
        <is>
          <t>W-TT-009</t>
        </is>
      </c>
      <c r="G113" s="13">
        <f>IFERROR(INDEX(Web!$L:$L,MATCH(F113,Web!$A:$A,0)),"")</f>
        <v/>
      </c>
      <c r="H113" s="13" t="inlineStr">
        <is>
          <t>Trung bình</t>
        </is>
      </c>
    </row>
    <row r="114">
      <c r="A114" s="13">
        <f>IF(G114="Đạt","☑",IF(G114="Lỗi","✗",IF(G114="Bỏ qua","–","☐")))</f>
        <v/>
      </c>
      <c r="B114" s="13" t="n">
        <v>105</v>
      </c>
      <c r="C114" s="13" t="inlineStr">
        <is>
          <t>Web</t>
        </is>
      </c>
      <c r="D114" s="14" t="inlineStr">
        <is>
          <t>Phiếu thu chi 2.1.1</t>
        </is>
      </c>
      <c r="E114" s="14" t="inlineStr">
        <is>
          <t>Chi phí chờ phân bổ tạo thẻ</t>
        </is>
      </c>
      <c r="F114" s="13" t="inlineStr">
        <is>
          <t>W-TT-010</t>
        </is>
      </c>
      <c r="G114" s="13">
        <f>IFERROR(INDEX(Web!$L:$L,MATCH(F114,Web!$A:$A,0)),"")</f>
        <v/>
      </c>
      <c r="H114" s="13" t="inlineStr">
        <is>
          <t>Cao</t>
        </is>
      </c>
    </row>
    <row r="115">
      <c r="A115" s="13">
        <f>IF(G115="Đạt","☑",IF(G115="Lỗi","✗",IF(G115="Bỏ qua","–","☐")))</f>
        <v/>
      </c>
      <c r="B115" s="13" t="n">
        <v>106</v>
      </c>
      <c r="C115" s="13" t="inlineStr">
        <is>
          <t>Web</t>
        </is>
      </c>
      <c r="D115" s="14" t="inlineStr">
        <is>
          <t>Phiếu thu chi 2.1.1</t>
        </is>
      </c>
      <c r="E115" s="14" t="inlineStr">
        <is>
          <t>Phiếu trong tháng đã khoá sổ chỉ xem</t>
        </is>
      </c>
      <c r="F115" s="13" t="inlineStr">
        <is>
          <t>W-TT-011</t>
        </is>
      </c>
      <c r="G115" s="13">
        <f>IFERROR(INDEX(Web!$L:$L,MATCH(F115,Web!$A:$A,0)),"")</f>
        <v/>
      </c>
      <c r="H115" s="13" t="inlineStr">
        <is>
          <t>Cao</t>
        </is>
      </c>
    </row>
    <row r="116">
      <c r="A116" s="13">
        <f>IF(G116="Đạt","☑",IF(G116="Lỗi","✗",IF(G116="Bỏ qua","–","☐")))</f>
        <v/>
      </c>
      <c r="B116" s="13" t="n">
        <v>107</v>
      </c>
      <c r="C116" s="13" t="inlineStr">
        <is>
          <t>Web</t>
        </is>
      </c>
      <c r="D116" s="14" t="inlineStr">
        <is>
          <t>Phiếu thu chi 2.1.1</t>
        </is>
      </c>
      <c r="E116" s="14" t="inlineStr">
        <is>
          <t>Danh sách gồm phiếu tự sinh</t>
        </is>
      </c>
      <c r="F116" s="13" t="inlineStr">
        <is>
          <t>W-TT-012</t>
        </is>
      </c>
      <c r="G116" s="13">
        <f>IFERROR(INDEX(Web!$L:$L,MATCH(F116,Web!$A:$A,0)),"")</f>
        <v/>
      </c>
      <c r="H116" s="13" t="inlineStr">
        <is>
          <t>Trung bình</t>
        </is>
      </c>
    </row>
    <row r="117">
      <c r="A117" s="13">
        <f>IF(G117="Đạt","☑",IF(G117="Lỗi","✗",IF(G117="Bỏ qua","–","☐")))</f>
        <v/>
      </c>
      <c r="B117" s="13" t="n">
        <v>108</v>
      </c>
      <c r="C117" s="13" t="inlineStr">
        <is>
          <t>Web</t>
        </is>
      </c>
      <c r="D117" s="14" t="inlineStr">
        <is>
          <t>Phiếu thu chi 2.1.1</t>
        </is>
      </c>
      <c r="E117" s="14" t="inlineStr">
        <is>
          <t>Sửa, xoá, sao chép, in phiếu</t>
        </is>
      </c>
      <c r="F117" s="13" t="inlineStr">
        <is>
          <t>W-TT-013</t>
        </is>
      </c>
      <c r="G117" s="13">
        <f>IFERROR(INDEX(Web!$L:$L,MATCH(F117,Web!$A:$A,0)),"")</f>
        <v/>
      </c>
      <c r="H117" s="13" t="inlineStr">
        <is>
          <t>Trung bình</t>
        </is>
      </c>
    </row>
    <row r="118">
      <c r="A118" s="13">
        <f>IF(G118="Đạt","☑",IF(G118="Lỗi","✗",IF(G118="Bỏ qua","–","☐")))</f>
        <v/>
      </c>
      <c r="B118" s="13" t="n">
        <v>109</v>
      </c>
      <c r="C118" s="13" t="inlineStr">
        <is>
          <t>Web</t>
        </is>
      </c>
      <c r="D118" s="14" t="inlineStr">
        <is>
          <t>Đồng bộ thu chi FABi</t>
        </is>
      </c>
      <c r="E118" s="14" t="inlineStr">
        <is>
          <t>Bật/tắt đồng bộ theo cửa hàng</t>
        </is>
      </c>
      <c r="F118" s="13" t="inlineStr">
        <is>
          <t>W-TT-014</t>
        </is>
      </c>
      <c r="G118" s="13">
        <f>IFERROR(INDEX(Web!$L:$L,MATCH(F118,Web!$A:$A,0)),"")</f>
        <v/>
      </c>
      <c r="H118" s="13" t="inlineStr">
        <is>
          <t>Cao</t>
        </is>
      </c>
    </row>
    <row r="119">
      <c r="A119" s="13">
        <f>IF(G119="Đạt","☑",IF(G119="Lỗi","✗",IF(G119="Bỏ qua","–","☐")))</f>
        <v/>
      </c>
      <c r="B119" s="13" t="n">
        <v>110</v>
      </c>
      <c r="C119" s="13" t="inlineStr">
        <is>
          <t>Web</t>
        </is>
      </c>
      <c r="D119" s="14" t="inlineStr">
        <is>
          <t>Đồng bộ thu chi FABi</t>
        </is>
      </c>
      <c r="E119" s="14" t="inlineStr">
        <is>
          <t>Phiếu vào quỹ theo cửa hàng|phương thức</t>
        </is>
      </c>
      <c r="F119" s="13" t="inlineStr">
        <is>
          <t>W-TT-015</t>
        </is>
      </c>
      <c r="G119" s="13">
        <f>IFERROR(INDEX(Web!$L:$L,MATCH(F119,Web!$A:$A,0)),"")</f>
        <v/>
      </c>
      <c r="H119" s="13" t="inlineStr">
        <is>
          <t>Cao</t>
        </is>
      </c>
    </row>
    <row r="120">
      <c r="A120" s="13">
        <f>IF(G120="Đạt","☑",IF(G120="Lỗi","✗",IF(G120="Bỏ qua","–","☐")))</f>
        <v/>
      </c>
      <c r="B120" s="13" t="n">
        <v>111</v>
      </c>
      <c r="C120" s="13" t="inlineStr">
        <is>
          <t>Web</t>
        </is>
      </c>
      <c r="D120" s="14" t="inlineStr">
        <is>
          <t>Sổ quỹ tiền mặt 2.2.1</t>
        </is>
      </c>
      <c r="E120" s="14" t="inlineStr">
        <is>
          <t>Sổ quỹ khớp phiếu</t>
        </is>
      </c>
      <c r="F120" s="13" t="inlineStr">
        <is>
          <t>W-TT-016</t>
        </is>
      </c>
      <c r="G120" s="13">
        <f>IFERROR(INDEX(Web!$L:$L,MATCH(F120,Web!$A:$A,0)),"")</f>
        <v/>
      </c>
      <c r="H120" s="13" t="inlineStr">
        <is>
          <t>Cao</t>
        </is>
      </c>
    </row>
    <row r="121">
      <c r="A121" s="13">
        <f>IF(G121="Đạt","☑",IF(G121="Lỗi","✗",IF(G121="Bỏ qua","–","☐")))</f>
        <v/>
      </c>
      <c r="B121" s="13" t="n">
        <v>112</v>
      </c>
      <c r="C121" s="13" t="inlineStr">
        <is>
          <t>Web</t>
        </is>
      </c>
      <c r="D121" s="14" t="inlineStr">
        <is>
          <t>Sổ ngân hàng 2.2.3</t>
        </is>
      </c>
      <c r="E121" s="14" t="inlineStr">
        <is>
          <t>Sổ ngân hàng khớp phiếu BC, UNC</t>
        </is>
      </c>
      <c r="F121" s="13" t="inlineStr">
        <is>
          <t>W-TT-017</t>
        </is>
      </c>
      <c r="G121" s="13">
        <f>IFERROR(INDEX(Web!$L:$L,MATCH(F121,Web!$A:$A,0)),"")</f>
        <v/>
      </c>
      <c r="H121" s="13" t="inlineStr">
        <is>
          <t>Cao</t>
        </is>
      </c>
    </row>
    <row r="122">
      <c r="A122" s="13">
        <f>IF(G122="Đạt","☑",IF(G122="Lỗi","✗",IF(G122="Bỏ qua","–","☐")))</f>
        <v/>
      </c>
      <c r="B122" s="13" t="n">
        <v>113</v>
      </c>
      <c r="C122" s="13" t="inlineStr">
        <is>
          <t>Web</t>
        </is>
      </c>
      <c r="D122" s="14" t="inlineStr">
        <is>
          <t>Số dư ban đầu</t>
        </is>
      </c>
      <c r="E122" s="14" t="inlineStr">
        <is>
          <t>Đường dẫn cũ chuyển sang Danh mục Quỹ tiền</t>
        </is>
      </c>
      <c r="F122" s="13" t="inlineStr">
        <is>
          <t>W-TT-018</t>
        </is>
      </c>
      <c r="G122" s="13">
        <f>IFERROR(INDEX(Web!$L:$L,MATCH(F122,Web!$A:$A,0)),"")</f>
        <v/>
      </c>
      <c r="H122" s="13" t="inlineStr">
        <is>
          <t>Trung bình</t>
        </is>
      </c>
    </row>
    <row r="123">
      <c r="A123" s="13">
        <f>IF(G123="Đạt","☑",IF(G123="Lỗi","✗",IF(G123="Bỏ qua","–","☐")))</f>
        <v/>
      </c>
      <c r="B123" s="13" t="n">
        <v>114</v>
      </c>
      <c r="C123" s="13" t="inlineStr">
        <is>
          <t>Web</t>
        </is>
      </c>
      <c r="D123" s="14" t="inlineStr">
        <is>
          <t>Báo cáo (tab)</t>
        </is>
      </c>
      <c r="E123" s="14" t="inlineStr">
        <is>
          <t>Tab Báo cáo của Thu chi</t>
        </is>
      </c>
      <c r="F123" s="13" t="inlineStr">
        <is>
          <t>W-TT-019</t>
        </is>
      </c>
      <c r="G123" s="13">
        <f>IFERROR(INDEX(Web!$L:$L,MATCH(F123,Web!$A:$A,0)),"")</f>
        <v/>
      </c>
      <c r="H123" s="13" t="inlineStr">
        <is>
          <t>Thấp</t>
        </is>
      </c>
    </row>
    <row r="124">
      <c r="A124" s="13">
        <f>IF(G124="Đạt","☑",IF(G124="Lỗi","✗",IF(G124="Bỏ qua","–","☐")))</f>
        <v/>
      </c>
      <c r="B124" s="13" t="n">
        <v>115</v>
      </c>
      <c r="C124" s="13" t="inlineStr">
        <is>
          <t>App</t>
        </is>
      </c>
      <c r="D124" s="14" t="inlineStr">
        <is>
          <t>Tab Nghiệp vụ</t>
        </is>
      </c>
      <c r="E124" s="14" t="inlineStr">
        <is>
          <t>Danh sách nghiệp vụ gói Standard</t>
        </is>
      </c>
      <c r="F124" s="13" t="inlineStr">
        <is>
          <t>A-TT-001</t>
        </is>
      </c>
      <c r="G124" s="13">
        <f>IFERROR(INDEX(App!$L:$L,MATCH(F124,App!$A:$A,0)),"")</f>
        <v/>
      </c>
      <c r="H124" s="13" t="inlineStr">
        <is>
          <t>Cao</t>
        </is>
      </c>
    </row>
    <row r="125">
      <c r="A125" s="13">
        <f>IF(G125="Đạt","☑",IF(G125="Lỗi","✗",IF(G125="Bỏ qua","–","☐")))</f>
        <v/>
      </c>
      <c r="B125" s="13" t="n">
        <v>116</v>
      </c>
      <c r="C125" s="13" t="inlineStr">
        <is>
          <t>App</t>
        </is>
      </c>
      <c r="D125" s="14" t="inlineStr">
        <is>
          <t>Tab Nghiệp vụ</t>
        </is>
      </c>
      <c r="E125" s="14" t="inlineStr">
        <is>
          <t>Tìm nghiệp vụ</t>
        </is>
      </c>
      <c r="F125" s="13" t="inlineStr">
        <is>
          <t>A-TT-002</t>
        </is>
      </c>
      <c r="G125" s="13">
        <f>IFERROR(INDEX(App!$L:$L,MATCH(F125,App!$A:$A,0)),"")</f>
        <v/>
      </c>
      <c r="H125" s="13" t="inlineStr">
        <is>
          <t>Trung bình</t>
        </is>
      </c>
    </row>
    <row r="126">
      <c r="A126" s="13">
        <f>IF(G126="Đạt","☑",IF(G126="Lỗi","✗",IF(G126="Bỏ qua","–","☐")))</f>
        <v/>
      </c>
      <c r="B126" s="13" t="n">
        <v>117</v>
      </c>
      <c r="C126" s="13" t="inlineStr">
        <is>
          <t>App</t>
        </is>
      </c>
      <c r="D126" s="14" t="inlineStr">
        <is>
          <t>Danh sách thu chi</t>
        </is>
      </c>
      <c r="E126" s="14" t="inlineStr">
        <is>
          <t>Tab và thẻ tổng</t>
        </is>
      </c>
      <c r="F126" s="13" t="inlineStr">
        <is>
          <t>A-TT-003</t>
        </is>
      </c>
      <c r="G126" s="13">
        <f>IFERROR(INDEX(App!$L:$L,MATCH(F126,App!$A:$A,0)),"")</f>
        <v/>
      </c>
      <c r="H126" s="13" t="inlineStr">
        <is>
          <t>Cao</t>
        </is>
      </c>
    </row>
    <row r="127">
      <c r="A127" s="13">
        <f>IF(G127="Đạt","☑",IF(G127="Lỗi","✗",IF(G127="Bỏ qua","–","☐")))</f>
        <v/>
      </c>
      <c r="B127" s="13" t="n">
        <v>118</v>
      </c>
      <c r="C127" s="13" t="inlineStr">
        <is>
          <t>App</t>
        </is>
      </c>
      <c r="D127" s="14" t="inlineStr">
        <is>
          <t>Danh sách thu chi</t>
        </is>
      </c>
      <c r="E127" s="14" t="inlineStr">
        <is>
          <t>Tìm, lọc, sắp xếp</t>
        </is>
      </c>
      <c r="F127" s="13" t="inlineStr">
        <is>
          <t>A-TT-004</t>
        </is>
      </c>
      <c r="G127" s="13">
        <f>IFERROR(INDEX(App!$L:$L,MATCH(F127,App!$A:$A,0)),"")</f>
        <v/>
      </c>
      <c r="H127" s="13" t="inlineStr">
        <is>
          <t>Cao</t>
        </is>
      </c>
    </row>
    <row r="128">
      <c r="A128" s="13">
        <f>IF(G128="Đạt","☑",IF(G128="Lỗi","✗",IF(G128="Bỏ qua","–","☐")))</f>
        <v/>
      </c>
      <c r="B128" s="13" t="n">
        <v>119</v>
      </c>
      <c r="C128" s="13" t="inlineStr">
        <is>
          <t>App</t>
        </is>
      </c>
      <c r="D128" s="14" t="inlineStr">
        <is>
          <t>Danh sách thu chi</t>
        </is>
      </c>
      <c r="E128" s="14" t="inlineStr">
        <is>
          <t>Nút + theo tab</t>
        </is>
      </c>
      <c r="F128" s="13" t="inlineStr">
        <is>
          <t>A-TT-005</t>
        </is>
      </c>
      <c r="G128" s="13">
        <f>IFERROR(INDEX(App!$L:$L,MATCH(F128,App!$A:$A,0)),"")</f>
        <v/>
      </c>
      <c r="H128" s="13" t="inlineStr">
        <is>
          <t>Trung bình</t>
        </is>
      </c>
    </row>
    <row r="129">
      <c r="A129" s="13">
        <f>IF(G129="Đạt","☑",IF(G129="Lỗi","✗",IF(G129="Bỏ qua","–","☐")))</f>
        <v/>
      </c>
      <c r="B129" s="13" t="n">
        <v>120</v>
      </c>
      <c r="C129" s="13" t="inlineStr">
        <is>
          <t>App</t>
        </is>
      </c>
      <c r="D129" s="14" t="inlineStr">
        <is>
          <t>Danh sách thu chi</t>
        </is>
      </c>
      <c r="E129" s="14" t="inlineStr">
        <is>
          <t>Phiếu tự sinh có trong danh sách</t>
        </is>
      </c>
      <c r="F129" s="13" t="inlineStr">
        <is>
          <t>A-TT-006</t>
        </is>
      </c>
      <c r="G129" s="13">
        <f>IFERROR(INDEX(App!$L:$L,MATCH(F129,App!$A:$A,0)),"")</f>
        <v/>
      </c>
      <c r="H129" s="13" t="inlineStr">
        <is>
          <t>Trung bình</t>
        </is>
      </c>
    </row>
    <row r="130">
      <c r="A130" s="13">
        <f>IF(G130="Đạt","☑",IF(G130="Lỗi","✗",IF(G130="Bỏ qua","–","☐")))</f>
        <v/>
      </c>
      <c r="B130" s="13" t="n">
        <v>121</v>
      </c>
      <c r="C130" s="13" t="inlineStr">
        <is>
          <t>App</t>
        </is>
      </c>
      <c r="D130" s="14" t="inlineStr">
        <is>
          <t>Lập phiếu thu chi</t>
        </is>
      </c>
      <c r="E130" s="14" t="inlineStr">
        <is>
          <t>Lập phiếu thu tiền mặt</t>
        </is>
      </c>
      <c r="F130" s="13" t="inlineStr">
        <is>
          <t>A-TT-007</t>
        </is>
      </c>
      <c r="G130" s="13">
        <f>IFERROR(INDEX(App!$L:$L,MATCH(F130,App!$A:$A,0)),"")</f>
        <v/>
      </c>
      <c r="H130" s="13" t="inlineStr">
        <is>
          <t>Cao</t>
        </is>
      </c>
    </row>
    <row r="131">
      <c r="A131" s="13">
        <f>IF(G131="Đạt","☑",IF(G131="Lỗi","✗",IF(G131="Bỏ qua","–","☐")))</f>
        <v/>
      </c>
      <c r="B131" s="13" t="n">
        <v>122</v>
      </c>
      <c r="C131" s="13" t="inlineStr">
        <is>
          <t>App</t>
        </is>
      </c>
      <c r="D131" s="14" t="inlineStr">
        <is>
          <t>Lập phiếu thu chi</t>
        </is>
      </c>
      <c r="E131" s="14" t="inlineStr">
        <is>
          <t>Kiểm tra khi lưu</t>
        </is>
      </c>
      <c r="F131" s="13" t="inlineStr">
        <is>
          <t>A-TT-008</t>
        </is>
      </c>
      <c r="G131" s="13">
        <f>IFERROR(INDEX(App!$L:$L,MATCH(F131,App!$A:$A,0)),"")</f>
        <v/>
      </c>
      <c r="H131" s="13" t="inlineStr">
        <is>
          <t>Cao</t>
        </is>
      </c>
    </row>
    <row r="132">
      <c r="A132" s="13">
        <f>IF(G132="Đạt","☑",IF(G132="Lỗi","✗",IF(G132="Bỏ qua","–","☐")))</f>
        <v/>
      </c>
      <c r="B132" s="13" t="n">
        <v>123</v>
      </c>
      <c r="C132" s="13" t="inlineStr">
        <is>
          <t>App</t>
        </is>
      </c>
      <c r="D132" s="14" t="inlineStr">
        <is>
          <t>Lập phiếu thu chi</t>
        </is>
      </c>
      <c r="E132" s="14" t="inlineStr">
        <is>
          <t>Quỹ theo cửa hàng và loại phiếu</t>
        </is>
      </c>
      <c r="F132" s="13" t="inlineStr">
        <is>
          <t>A-TT-009</t>
        </is>
      </c>
      <c r="G132" s="13">
        <f>IFERROR(INDEX(App!$L:$L,MATCH(F132,App!$A:$A,0)),"")</f>
        <v/>
      </c>
      <c r="H132" s="13" t="inlineStr">
        <is>
          <t>Cao</t>
        </is>
      </c>
    </row>
    <row r="133">
      <c r="A133" s="13">
        <f>IF(G133="Đạt","☑",IF(G133="Lỗi","✗",IF(G133="Bỏ qua","–","☐")))</f>
        <v/>
      </c>
      <c r="B133" s="13" t="n">
        <v>124</v>
      </c>
      <c r="C133" s="13" t="inlineStr">
        <is>
          <t>App</t>
        </is>
      </c>
      <c r="D133" s="14" t="inlineStr">
        <is>
          <t>Lập phiếu thu chi</t>
        </is>
      </c>
      <c r="E133" s="14" t="inlineStr">
        <is>
          <t>Đối tượng bắt buộc theo lý do</t>
        </is>
      </c>
      <c r="F133" s="13" t="inlineStr">
        <is>
          <t>A-TT-010</t>
        </is>
      </c>
      <c r="G133" s="13">
        <f>IFERROR(INDEX(App!$L:$L,MATCH(F133,App!$A:$A,0)),"")</f>
        <v/>
      </c>
      <c r="H133" s="13" t="inlineStr">
        <is>
          <t>Trung bình</t>
        </is>
      </c>
    </row>
    <row r="134">
      <c r="A134" s="13">
        <f>IF(G134="Đạt","☑",IF(G134="Lỗi","✗",IF(G134="Bỏ qua","–","☐")))</f>
        <v/>
      </c>
      <c r="B134" s="13" t="n">
        <v>125</v>
      </c>
      <c r="C134" s="13" t="inlineStr">
        <is>
          <t>App</t>
        </is>
      </c>
      <c r="D134" s="14" t="inlineStr">
        <is>
          <t>Lập phiếu thu chi</t>
        </is>
      </c>
      <c r="E134" s="14" t="inlineStr">
        <is>
          <t>Thêm nhanh đối tượng, lý do</t>
        </is>
      </c>
      <c r="F134" s="13" t="inlineStr">
        <is>
          <t>A-TT-011</t>
        </is>
      </c>
      <c r="G134" s="13">
        <f>IFERROR(INDEX(App!$L:$L,MATCH(F134,App!$A:$A,0)),"")</f>
        <v/>
      </c>
      <c r="H134" s="13" t="inlineStr">
        <is>
          <t>Trung bình</t>
        </is>
      </c>
    </row>
    <row r="135">
      <c r="A135" s="13">
        <f>IF(G135="Đạt","☑",IF(G135="Lỗi","✗",IF(G135="Bỏ qua","–","☐")))</f>
        <v/>
      </c>
      <c r="B135" s="13" t="n">
        <v>126</v>
      </c>
      <c r="C135" s="13" t="inlineStr">
        <is>
          <t>App</t>
        </is>
      </c>
      <c r="D135" s="14" t="inlineStr">
        <is>
          <t>Lập phiếu thu chi</t>
        </is>
      </c>
      <c r="E135" s="14" t="inlineStr">
        <is>
          <t>Tháng ghi nhận chi phí</t>
        </is>
      </c>
      <c r="F135" s="13" t="inlineStr">
        <is>
          <t>A-TT-012</t>
        </is>
      </c>
      <c r="G135" s="13">
        <f>IFERROR(INDEX(App!$L:$L,MATCH(F135,App!$A:$A,0)),"")</f>
        <v/>
      </c>
      <c r="H135" s="13" t="inlineStr">
        <is>
          <t>Trung bình</t>
        </is>
      </c>
    </row>
    <row r="136">
      <c r="A136" s="13">
        <f>IF(G136="Đạt","☑",IF(G136="Lỗi","✗",IF(G136="Bỏ qua","–","☐")))</f>
        <v/>
      </c>
      <c r="B136" s="13" t="n">
        <v>127</v>
      </c>
      <c r="C136" s="13" t="inlineStr">
        <is>
          <t>App</t>
        </is>
      </c>
      <c r="D136" s="14" t="inlineStr">
        <is>
          <t>Lập phiếu thu chi</t>
        </is>
      </c>
      <c r="E136" s="14" t="inlineStr">
        <is>
          <t>Chuyển quỹ</t>
        </is>
      </c>
      <c r="F136" s="13" t="inlineStr">
        <is>
          <t>A-TT-013</t>
        </is>
      </c>
      <c r="G136" s="13">
        <f>IFERROR(INDEX(App!$L:$L,MATCH(F136,App!$A:$A,0)),"")</f>
        <v/>
      </c>
      <c r="H136" s="13" t="inlineStr">
        <is>
          <t>Trung bình</t>
        </is>
      </c>
    </row>
    <row r="137">
      <c r="A137" s="13">
        <f>IF(G137="Đạt","☑",IF(G137="Lỗi","✗",IF(G137="Bỏ qua","–","☐")))</f>
        <v/>
      </c>
      <c r="B137" s="13" t="n">
        <v>128</v>
      </c>
      <c r="C137" s="13" t="inlineStr">
        <is>
          <t>App</t>
        </is>
      </c>
      <c r="D137" s="14" t="inlineStr">
        <is>
          <t>Lập phiếu thu chi</t>
        </is>
      </c>
      <c r="E137" s="14" t="inlineStr">
        <is>
          <t>Chi phí chờ phân bổ</t>
        </is>
      </c>
      <c r="F137" s="13" t="inlineStr">
        <is>
          <t>A-TT-014</t>
        </is>
      </c>
      <c r="G137" s="13">
        <f>IFERROR(INDEX(App!$L:$L,MATCH(F137,App!$A:$A,0)),"")</f>
        <v/>
      </c>
      <c r="H137" s="13" t="inlineStr">
        <is>
          <t>Cao</t>
        </is>
      </c>
    </row>
    <row r="138">
      <c r="A138" s="13">
        <f>IF(G138="Đạt","☑",IF(G138="Lỗi","✗",IF(G138="Bỏ qua","–","☐")))</f>
        <v/>
      </c>
      <c r="B138" s="13" t="n">
        <v>129</v>
      </c>
      <c r="C138" s="13" t="inlineStr">
        <is>
          <t>App</t>
        </is>
      </c>
      <c r="D138" s="14" t="inlineStr">
        <is>
          <t>Xem phiếu thu chi</t>
        </is>
      </c>
      <c r="E138" s="14" t="inlineStr">
        <is>
          <t>Màn xem phiếu</t>
        </is>
      </c>
      <c r="F138" s="13" t="inlineStr">
        <is>
          <t>A-TT-015</t>
        </is>
      </c>
      <c r="G138" s="13">
        <f>IFERROR(INDEX(App!$L:$L,MATCH(F138,App!$A:$A,0)),"")</f>
        <v/>
      </c>
      <c r="H138" s="13" t="inlineStr">
        <is>
          <t>Cao</t>
        </is>
      </c>
    </row>
    <row r="139">
      <c r="A139" s="13">
        <f>IF(G139="Đạt","☑",IF(G139="Lỗi","✗",IF(G139="Bỏ qua","–","☐")))</f>
        <v/>
      </c>
      <c r="B139" s="13" t="n">
        <v>130</v>
      </c>
      <c r="C139" s="13" t="inlineStr">
        <is>
          <t>App</t>
        </is>
      </c>
      <c r="D139" s="14" t="inlineStr">
        <is>
          <t>Xem phiếu thu chi</t>
        </is>
      </c>
      <c r="E139" s="14" t="inlineStr">
        <is>
          <t>Sửa, sao chép, xoá</t>
        </is>
      </c>
      <c r="F139" s="13" t="inlineStr">
        <is>
          <t>A-TT-016</t>
        </is>
      </c>
      <c r="G139" s="13">
        <f>IFERROR(INDEX(App!$L:$L,MATCH(F139,App!$A:$A,0)),"")</f>
        <v/>
      </c>
      <c r="H139" s="13" t="inlineStr">
        <is>
          <t>Trung bình</t>
        </is>
      </c>
    </row>
    <row r="140">
      <c r="A140" s="13">
        <f>IF(G140="Đạt","☑",IF(G140="Lỗi","✗",IF(G140="Bỏ qua","–","☐")))</f>
        <v/>
      </c>
      <c r="B140" s="13" t="n">
        <v>131</v>
      </c>
      <c r="C140" s="13" t="inlineStr">
        <is>
          <t>App</t>
        </is>
      </c>
      <c r="D140" s="14" t="inlineStr">
        <is>
          <t>Lịch sử phiếu</t>
        </is>
      </c>
      <c r="E140" s="14" t="inlineStr">
        <is>
          <t>Dòng thời gian thao tác</t>
        </is>
      </c>
      <c r="F140" s="13" t="inlineStr">
        <is>
          <t>A-TT-017</t>
        </is>
      </c>
      <c r="G140" s="13">
        <f>IFERROR(INDEX(App!$L:$L,MATCH(F140,App!$A:$A,0)),"")</f>
        <v/>
      </c>
      <c r="H140" s="13" t="inlineStr">
        <is>
          <t>Thấp</t>
        </is>
      </c>
    </row>
    <row r="141">
      <c r="A141" s="12" t="inlineStr">
        <is>
          <t>Kế toán bán hàng</t>
        </is>
      </c>
      <c r="B141" s="12" t="n"/>
      <c r="C141" s="12" t="n"/>
      <c r="D141" s="12" t="n"/>
      <c r="E141" s="12" t="n"/>
      <c r="F141" s="12" t="n"/>
      <c r="G141" s="12">
        <f>COUNTIF(G142:G154,"Đạt")&amp;"/13 đạt"</f>
        <v/>
      </c>
      <c r="H141" s="12" t="n"/>
    </row>
    <row r="142">
      <c r="A142" s="13">
        <f>IF(G142="Đạt","☑",IF(G142="Lỗi","✗",IF(G142="Bỏ qua","–","☐")))</f>
        <v/>
      </c>
      <c r="B142" s="13" t="n">
        <v>132</v>
      </c>
      <c r="C142" s="13" t="inlineStr">
        <is>
          <t>Web</t>
        </is>
      </c>
      <c r="D142" s="14" t="inlineStr">
        <is>
          <t>Quy trình</t>
        </is>
      </c>
      <c r="E142" s="14" t="inlineStr">
        <is>
          <t>Sơ đồ quy trình bán hàng</t>
        </is>
      </c>
      <c r="F142" s="13" t="inlineStr">
        <is>
          <t>W-BH-001</t>
        </is>
      </c>
      <c r="G142" s="13">
        <f>IFERROR(INDEX(Web!$L:$L,MATCH(F142,Web!$A:$A,0)),"")</f>
        <v/>
      </c>
      <c r="H142" s="13" t="inlineStr">
        <is>
          <t>Thấp</t>
        </is>
      </c>
    </row>
    <row r="143">
      <c r="A143" s="13">
        <f>IF(G143="Đạt","☑",IF(G143="Lỗi","✗",IF(G143="Bỏ qua","–","☐")))</f>
        <v/>
      </c>
      <c r="B143" s="13" t="n">
        <v>133</v>
      </c>
      <c r="C143" s="13" t="inlineStr">
        <is>
          <t>Web</t>
        </is>
      </c>
      <c r="D143" s="14" t="inlineStr">
        <is>
          <t>Xuất bán POS 3.1.1</t>
        </is>
      </c>
      <c r="E143" s="14" t="inlineStr">
        <is>
          <t>Chỉ nhận chứng từ từ FABi</t>
        </is>
      </c>
      <c r="F143" s="13" t="inlineStr">
        <is>
          <t>W-BH-002</t>
        </is>
      </c>
      <c r="G143" s="13">
        <f>IFERROR(INDEX(Web!$L:$L,MATCH(F143,Web!$A:$A,0)),"")</f>
        <v/>
      </c>
      <c r="H143" s="13" t="inlineStr">
        <is>
          <t>Cao</t>
        </is>
      </c>
    </row>
    <row r="144">
      <c r="A144" s="13">
        <f>IF(G144="Đạt","☑",IF(G144="Lỗi","✗",IF(G144="Bỏ qua","–","☐")))</f>
        <v/>
      </c>
      <c r="B144" s="13" t="n">
        <v>134</v>
      </c>
      <c r="C144" s="13" t="inlineStr">
        <is>
          <t>Web</t>
        </is>
      </c>
      <c r="D144" s="14" t="inlineStr">
        <is>
          <t>Xuất bán POS 3.1.1</t>
        </is>
      </c>
      <c r="E144" s="14" t="inlineStr">
        <is>
          <t>Mỗi hoá đơn FABi một chứng từ, dòng món khớp</t>
        </is>
      </c>
      <c r="F144" s="13" t="inlineStr">
        <is>
          <t>W-BH-003</t>
        </is>
      </c>
      <c r="G144" s="13">
        <f>IFERROR(INDEX(Web!$L:$L,MATCH(F144,Web!$A:$A,0)),"")</f>
        <v/>
      </c>
      <c r="H144" s="13" t="inlineStr">
        <is>
          <t>Cao</t>
        </is>
      </c>
    </row>
    <row r="145">
      <c r="A145" s="13">
        <f>IF(G145="Đạt","☑",IF(G145="Lỗi","✗",IF(G145="Bỏ qua","–","☐")))</f>
        <v/>
      </c>
      <c r="B145" s="13" t="n">
        <v>135</v>
      </c>
      <c r="C145" s="13" t="inlineStr">
        <is>
          <t>Web</t>
        </is>
      </c>
      <c r="D145" s="14" t="inlineStr">
        <is>
          <t>Xuất bán POS 3.1.1</t>
        </is>
      </c>
      <c r="E145" s="14" t="inlineStr">
        <is>
          <t>Thuế GTGT theo % doanh thu</t>
        </is>
      </c>
      <c r="F145" s="13" t="inlineStr">
        <is>
          <t>W-BH-004</t>
        </is>
      </c>
      <c r="G145" s="13">
        <f>IFERROR(INDEX(Web!$L:$L,MATCH(F145,Web!$A:$A,0)),"")</f>
        <v/>
      </c>
      <c r="H145" s="13" t="inlineStr">
        <is>
          <t>Cao</t>
        </is>
      </c>
    </row>
    <row r="146">
      <c r="A146" s="13">
        <f>IF(G146="Đạt","☑",IF(G146="Lỗi","✗",IF(G146="Bỏ qua","–","☐")))</f>
        <v/>
      </c>
      <c r="B146" s="13" t="n">
        <v>136</v>
      </c>
      <c r="C146" s="13" t="inlineStr">
        <is>
          <t>Web</t>
        </is>
      </c>
      <c r="D146" s="14" t="inlineStr">
        <is>
          <t>Xuất bán POS 3.1.1</t>
        </is>
      </c>
      <c r="E146" s="14" t="inlineStr">
        <is>
          <t>Khớp KQKD và trang chủ</t>
        </is>
      </c>
      <c r="F146" s="13" t="inlineStr">
        <is>
          <t>W-BH-005</t>
        </is>
      </c>
      <c r="G146" s="13">
        <f>IFERROR(INDEX(Web!$L:$L,MATCH(F146,Web!$A:$A,0)),"")</f>
        <v/>
      </c>
      <c r="H146" s="13" t="inlineStr">
        <is>
          <t>Cao</t>
        </is>
      </c>
    </row>
    <row r="147">
      <c r="A147" s="13">
        <f>IF(G147="Đạt","☑",IF(G147="Lỗi","✗",IF(G147="Bỏ qua","–","☐")))</f>
        <v/>
      </c>
      <c r="B147" s="13" t="n">
        <v>137</v>
      </c>
      <c r="C147" s="13" t="inlineStr">
        <is>
          <t>Web</t>
        </is>
      </c>
      <c r="D147" s="14" t="inlineStr">
        <is>
          <t>Bán hàng (chung)</t>
        </is>
      </c>
      <c r="E147" s="14" t="inlineStr">
        <is>
          <t>Màn bán hàng ẩn ở gói Standard</t>
        </is>
      </c>
      <c r="F147" s="13" t="inlineStr">
        <is>
          <t>W-BH-006</t>
        </is>
      </c>
      <c r="G147" s="13">
        <f>IFERROR(INDEX(Web!$L:$L,MATCH(F147,Web!$A:$A,0)),"")</f>
        <v/>
      </c>
      <c r="H147" s="13" t="inlineStr">
        <is>
          <t>Trung bình</t>
        </is>
      </c>
    </row>
    <row r="148">
      <c r="A148" s="13">
        <f>IF(G148="Đạt","☑",IF(G148="Lỗi","✗",IF(G148="Bỏ qua","–","☐")))</f>
        <v/>
      </c>
      <c r="B148" s="13" t="n">
        <v>138</v>
      </c>
      <c r="C148" s="13" t="inlineStr">
        <is>
          <t>Web</t>
        </is>
      </c>
      <c r="D148" s="14" t="inlineStr">
        <is>
          <t>Tổng hợp bán hàng</t>
        </is>
      </c>
      <c r="E148" s="14" t="inlineStr">
        <is>
          <t>Tổng hợp khớp chứng từ</t>
        </is>
      </c>
      <c r="F148" s="13" t="inlineStr">
        <is>
          <t>W-BH-007</t>
        </is>
      </c>
      <c r="G148" s="13">
        <f>IFERROR(INDEX(Web!$L:$L,MATCH(F148,Web!$A:$A,0)),"")</f>
        <v/>
      </c>
      <c r="H148" s="13" t="inlineStr">
        <is>
          <t>Trung bình</t>
        </is>
      </c>
    </row>
    <row r="149">
      <c r="A149" s="13">
        <f>IF(G149="Đạt","☑",IF(G149="Lỗi","✗",IF(G149="Bỏ qua","–","☐")))</f>
        <v/>
      </c>
      <c r="B149" s="13" t="n">
        <v>139</v>
      </c>
      <c r="C149" s="13" t="inlineStr">
        <is>
          <t>Web</t>
        </is>
      </c>
      <c r="D149" s="14" t="inlineStr">
        <is>
          <t>Bảng kê chi tiết bán hàng</t>
        </is>
      </c>
      <c r="E149" s="14" t="inlineStr">
        <is>
          <t>Bảng kê theo dòng món</t>
        </is>
      </c>
      <c r="F149" s="13" t="inlineStr">
        <is>
          <t>W-BH-008</t>
        </is>
      </c>
      <c r="G149" s="13">
        <f>IFERROR(INDEX(Web!$L:$L,MATCH(F149,Web!$A:$A,0)),"")</f>
        <v/>
      </c>
      <c r="H149" s="13" t="inlineStr">
        <is>
          <t>Trung bình</t>
        </is>
      </c>
    </row>
    <row r="150">
      <c r="A150" s="13">
        <f>IF(G150="Đạt","☑",IF(G150="Lỗi","✗",IF(G150="Bỏ qua","–","☐")))</f>
        <v/>
      </c>
      <c r="B150" s="13" t="n">
        <v>140</v>
      </c>
      <c r="C150" s="13" t="inlineStr">
        <is>
          <t>Web</t>
        </is>
      </c>
      <c r="D150" s="14" t="inlineStr">
        <is>
          <t>Sổ doanh thu 3.2.5</t>
        </is>
      </c>
      <c r="E150" s="14" t="inlineStr">
        <is>
          <t>Mẫu sổ theo chế độ, cách tính thuế</t>
        </is>
      </c>
      <c r="F150" s="13" t="inlineStr">
        <is>
          <t>W-BH-009</t>
        </is>
      </c>
      <c r="G150" s="13">
        <f>IFERROR(INDEX(Web!$L:$L,MATCH(F150,Web!$A:$A,0)),"")</f>
        <v/>
      </c>
      <c r="H150" s="13" t="inlineStr">
        <is>
          <t>Cao</t>
        </is>
      </c>
    </row>
    <row r="151">
      <c r="A151" s="13">
        <f>IF(G151="Đạt","☑",IF(G151="Lỗi","✗",IF(G151="Bỏ qua","–","☐")))</f>
        <v/>
      </c>
      <c r="B151" s="13" t="n">
        <v>141</v>
      </c>
      <c r="C151" s="13" t="inlineStr">
        <is>
          <t>App</t>
        </is>
      </c>
      <c r="D151" s="14" t="inlineStr">
        <is>
          <t>Xuất bán POS</t>
        </is>
      </c>
      <c r="E151" s="14" t="inlineStr">
        <is>
          <t>Chỉ xem, không lập tay</t>
        </is>
      </c>
      <c r="F151" s="13" t="inlineStr">
        <is>
          <t>A-BH-001</t>
        </is>
      </c>
      <c r="G151" s="13">
        <f>IFERROR(INDEX(App!$L:$L,MATCH(F151,App!$A:$A,0)),"")</f>
        <v/>
      </c>
      <c r="H151" s="13" t="inlineStr">
        <is>
          <t>Cao</t>
        </is>
      </c>
    </row>
    <row r="152">
      <c r="A152" s="13">
        <f>IF(G152="Đạt","☑",IF(G152="Lỗi","✗",IF(G152="Bỏ qua","–","☐")))</f>
        <v/>
      </c>
      <c r="B152" s="13" t="n">
        <v>142</v>
      </c>
      <c r="C152" s="13" t="inlineStr">
        <is>
          <t>App</t>
        </is>
      </c>
      <c r="D152" s="14" t="inlineStr">
        <is>
          <t>Xuất bán POS</t>
        </is>
      </c>
      <c r="E152" s="14" t="inlineStr">
        <is>
          <t>Lọc danh sách</t>
        </is>
      </c>
      <c r="F152" s="13" t="inlineStr">
        <is>
          <t>A-BH-002</t>
        </is>
      </c>
      <c r="G152" s="13">
        <f>IFERROR(INDEX(App!$L:$L,MATCH(F152,App!$A:$A,0)),"")</f>
        <v/>
      </c>
      <c r="H152" s="13" t="inlineStr">
        <is>
          <t>Trung bình</t>
        </is>
      </c>
    </row>
    <row r="153">
      <c r="A153" s="13">
        <f>IF(G153="Đạt","☑",IF(G153="Lỗi","✗",IF(G153="Bỏ qua","–","☐")))</f>
        <v/>
      </c>
      <c r="B153" s="13" t="n">
        <v>143</v>
      </c>
      <c r="C153" s="13" t="inlineStr">
        <is>
          <t>App</t>
        </is>
      </c>
      <c r="D153" s="14" t="inlineStr">
        <is>
          <t>Xuất bán POS</t>
        </is>
      </c>
      <c r="E153" s="14" t="inlineStr">
        <is>
          <t>Chi tiết đơn</t>
        </is>
      </c>
      <c r="F153" s="13" t="inlineStr">
        <is>
          <t>A-BH-003</t>
        </is>
      </c>
      <c r="G153" s="13">
        <f>IFERROR(INDEX(App!$L:$L,MATCH(F153,App!$A:$A,0)),"")</f>
        <v/>
      </c>
      <c r="H153" s="13" t="inlineStr">
        <is>
          <t>Cao</t>
        </is>
      </c>
    </row>
    <row r="154">
      <c r="A154" s="13">
        <f>IF(G154="Đạt","☑",IF(G154="Lỗi","✗",IF(G154="Bỏ qua","–","☐")))</f>
        <v/>
      </c>
      <c r="B154" s="13" t="n">
        <v>144</v>
      </c>
      <c r="C154" s="13" t="inlineStr">
        <is>
          <t>App</t>
        </is>
      </c>
      <c r="D154" s="14" t="inlineStr">
        <is>
          <t>Xuất bán POS</t>
        </is>
      </c>
      <c r="E154" s="14" t="inlineStr">
        <is>
          <t>Tab Báo cáo theo dõi</t>
        </is>
      </c>
      <c r="F154" s="13" t="inlineStr">
        <is>
          <t>A-BH-004</t>
        </is>
      </c>
      <c r="G154" s="13">
        <f>IFERROR(INDEX(App!$L:$L,MATCH(F154,App!$A:$A,0)),"")</f>
        <v/>
      </c>
      <c r="H154" s="13" t="inlineStr">
        <is>
          <t>Thấp</t>
        </is>
      </c>
    </row>
    <row r="155">
      <c r="A155" s="12" t="inlineStr">
        <is>
          <t>Kế toán mua hàng</t>
        </is>
      </c>
      <c r="B155" s="12" t="n"/>
      <c r="C155" s="12" t="n"/>
      <c r="D155" s="12" t="n"/>
      <c r="E155" s="12" t="n"/>
      <c r="F155" s="12" t="n"/>
      <c r="G155" s="12">
        <f>COUNTIF(G156:G174,"Đạt")&amp;"/19 đạt"</f>
        <v/>
      </c>
      <c r="H155" s="12" t="n"/>
    </row>
    <row r="156">
      <c r="A156" s="13">
        <f>IF(G156="Đạt","☑",IF(G156="Lỗi","✗",IF(G156="Bỏ qua","–","☐")))</f>
        <v/>
      </c>
      <c r="B156" s="13" t="n">
        <v>145</v>
      </c>
      <c r="C156" s="13" t="inlineStr">
        <is>
          <t>Web</t>
        </is>
      </c>
      <c r="D156" s="14" t="inlineStr">
        <is>
          <t>Quy trình</t>
        </is>
      </c>
      <c r="E156" s="14" t="inlineStr">
        <is>
          <t>Sơ đồ quy trình mua hàng</t>
        </is>
      </c>
      <c r="F156" s="13" t="inlineStr">
        <is>
          <t>W-MH-001</t>
        </is>
      </c>
      <c r="G156" s="13">
        <f>IFERROR(INDEX(Web!$L:$L,MATCH(F156,Web!$A:$A,0)),"")</f>
        <v/>
      </c>
      <c r="H156" s="13" t="inlineStr">
        <is>
          <t>Thấp</t>
        </is>
      </c>
    </row>
    <row r="157">
      <c r="A157" s="13">
        <f>IF(G157="Đạt","☑",IF(G157="Lỗi","✗",IF(G157="Bỏ qua","–","☐")))</f>
        <v/>
      </c>
      <c r="B157" s="13" t="n">
        <v>146</v>
      </c>
      <c r="C157" s="13" t="inlineStr">
        <is>
          <t>Web</t>
        </is>
      </c>
      <c r="D157" s="14" t="inlineStr">
        <is>
          <t>Phiếu mua hàng 4.1.1</t>
        </is>
      </c>
      <c r="E157" s="14" t="inlineStr">
        <is>
          <t>Lập phiếu mua còn nợ</t>
        </is>
      </c>
      <c r="F157" s="13" t="inlineStr">
        <is>
          <t>W-MH-002</t>
        </is>
      </c>
      <c r="G157" s="13">
        <f>IFERROR(INDEX(Web!$L:$L,MATCH(F157,Web!$A:$A,0)),"")</f>
        <v/>
      </c>
      <c r="H157" s="13" t="inlineStr">
        <is>
          <t>Cao</t>
        </is>
      </c>
    </row>
    <row r="158">
      <c r="A158" s="13">
        <f>IF(G158="Đạt","☑",IF(G158="Lỗi","✗",IF(G158="Bỏ qua","–","☐")))</f>
        <v/>
      </c>
      <c r="B158" s="13" t="n">
        <v>147</v>
      </c>
      <c r="C158" s="13" t="inlineStr">
        <is>
          <t>Web</t>
        </is>
      </c>
      <c r="D158" s="14" t="inlineStr">
        <is>
          <t>Phiếu mua hàng 4.1.1</t>
        </is>
      </c>
      <c r="E158" s="14" t="inlineStr">
        <is>
          <t>Đã thanh toán sinh phiếu chi</t>
        </is>
      </c>
      <c r="F158" s="13" t="inlineStr">
        <is>
          <t>W-MH-003</t>
        </is>
      </c>
      <c r="G158" s="13">
        <f>IFERROR(INDEX(Web!$L:$L,MATCH(F158,Web!$A:$A,0)),"")</f>
        <v/>
      </c>
      <c r="H158" s="13" t="inlineStr">
        <is>
          <t>Cao</t>
        </is>
      </c>
    </row>
    <row r="159">
      <c r="A159" s="13">
        <f>IF(G159="Đạt","☑",IF(G159="Lỗi","✗",IF(G159="Bỏ qua","–","☐")))</f>
        <v/>
      </c>
      <c r="B159" s="13" t="n">
        <v>148</v>
      </c>
      <c r="C159" s="13" t="inlineStr">
        <is>
          <t>Web</t>
        </is>
      </c>
      <c r="D159" s="14" t="inlineStr">
        <is>
          <t>Phiếu mua hàng 4.1.1</t>
        </is>
      </c>
      <c r="E159" s="14" t="inlineStr">
        <is>
          <t>Nhận kèm hoá đơn</t>
        </is>
      </c>
      <c r="F159" s="13" t="inlineStr">
        <is>
          <t>W-MH-004</t>
        </is>
      </c>
      <c r="G159" s="13">
        <f>IFERROR(INDEX(Web!$L:$L,MATCH(F159,Web!$A:$A,0)),"")</f>
        <v/>
      </c>
      <c r="H159" s="13" t="inlineStr">
        <is>
          <t>Cao</t>
        </is>
      </c>
    </row>
    <row r="160">
      <c r="A160" s="13">
        <f>IF(G160="Đạt","☑",IF(G160="Lỗi","✗",IF(G160="Bỏ qua","–","☐")))</f>
        <v/>
      </c>
      <c r="B160" s="13" t="n">
        <v>149</v>
      </c>
      <c r="C160" s="13" t="inlineStr">
        <is>
          <t>Web</t>
        </is>
      </c>
      <c r="D160" s="14" t="inlineStr">
        <is>
          <t>Phiếu mua hàng 4.1.1</t>
        </is>
      </c>
      <c r="E160" s="14" t="inlineStr">
        <is>
          <t>HKD không khấu trừ thuế đầu vào</t>
        </is>
      </c>
      <c r="F160" s="13" t="inlineStr">
        <is>
          <t>W-MH-005</t>
        </is>
      </c>
      <c r="G160" s="13">
        <f>IFERROR(INDEX(Web!$L:$L,MATCH(F160,Web!$A:$A,0)),"")</f>
        <v/>
      </c>
      <c r="H160" s="13" t="inlineStr">
        <is>
          <t>Trung bình</t>
        </is>
      </c>
    </row>
    <row r="161">
      <c r="A161" s="13">
        <f>IF(G161="Đạt","☑",IF(G161="Lỗi","✗",IF(G161="Bỏ qua","–","☐")))</f>
        <v/>
      </c>
      <c r="B161" s="13" t="n">
        <v>150</v>
      </c>
      <c r="C161" s="13" t="inlineStr">
        <is>
          <t>Web</t>
        </is>
      </c>
      <c r="D161" s="14" t="inlineStr">
        <is>
          <t>Phiếu mua hàng 4.1.1</t>
        </is>
      </c>
      <c r="E161" s="14" t="inlineStr">
        <is>
          <t>Thanh toán phiếu còn nợ</t>
        </is>
      </c>
      <c r="F161" s="13" t="inlineStr">
        <is>
          <t>W-MH-006</t>
        </is>
      </c>
      <c r="G161" s="13">
        <f>IFERROR(INDEX(Web!$L:$L,MATCH(F161,Web!$A:$A,0)),"")</f>
        <v/>
      </c>
      <c r="H161" s="13" t="inlineStr">
        <is>
          <t>Cao</t>
        </is>
      </c>
    </row>
    <row r="162">
      <c r="A162" s="13">
        <f>IF(G162="Đạt","☑",IF(G162="Lỗi","✗",IF(G162="Bỏ qua","–","☐")))</f>
        <v/>
      </c>
      <c r="B162" s="13" t="n">
        <v>151</v>
      </c>
      <c r="C162" s="13" t="inlineStr">
        <is>
          <t>Web</t>
        </is>
      </c>
      <c r="D162" s="14" t="inlineStr">
        <is>
          <t>Phiếu mua hàng 4.1.1</t>
        </is>
      </c>
      <c r="E162" s="14" t="inlineStr">
        <is>
          <t>Phiếu đã trả, tháng khoá sổ không sửa</t>
        </is>
      </c>
      <c r="F162" s="13" t="inlineStr">
        <is>
          <t>W-MH-007</t>
        </is>
      </c>
      <c r="G162" s="13">
        <f>IFERROR(INDEX(Web!$L:$L,MATCH(F162,Web!$A:$A,0)),"")</f>
        <v/>
      </c>
      <c r="H162" s="13" t="inlineStr">
        <is>
          <t>Cao</t>
        </is>
      </c>
    </row>
    <row r="163">
      <c r="A163" s="13">
        <f>IF(G163="Đạt","☑",IF(G163="Lỗi","✗",IF(G163="Bỏ qua","–","☐")))</f>
        <v/>
      </c>
      <c r="B163" s="13" t="n">
        <v>152</v>
      </c>
      <c r="C163" s="13" t="inlineStr">
        <is>
          <t>Web</t>
        </is>
      </c>
      <c r="D163" s="14" t="inlineStr">
        <is>
          <t>Phiếu mua hàng 4.1.1</t>
        </is>
      </c>
      <c r="E163" s="14" t="inlineStr">
        <is>
          <t>Bắt buộc trên phiếu</t>
        </is>
      </c>
      <c r="F163" s="13" t="inlineStr">
        <is>
          <t>W-MH-008</t>
        </is>
      </c>
      <c r="G163" s="13">
        <f>IFERROR(INDEX(Web!$L:$L,MATCH(F163,Web!$A:$A,0)),"")</f>
        <v/>
      </c>
      <c r="H163" s="13" t="inlineStr">
        <is>
          <t>Trung bình</t>
        </is>
      </c>
    </row>
    <row r="164">
      <c r="A164" s="13">
        <f>IF(G164="Đạt","☑",IF(G164="Lỗi","✗",IF(G164="Bỏ qua","–","☐")))</f>
        <v/>
      </c>
      <c r="B164" s="13" t="n">
        <v>153</v>
      </c>
      <c r="C164" s="13" t="inlineStr">
        <is>
          <t>Web</t>
        </is>
      </c>
      <c r="D164" s="14" t="inlineStr">
        <is>
          <t>Công nợ NCC 4.2.3</t>
        </is>
      </c>
      <c r="E164" s="14" t="inlineStr">
        <is>
          <t>Công thức công nợ</t>
        </is>
      </c>
      <c r="F164" s="13" t="inlineStr">
        <is>
          <t>W-MH-009</t>
        </is>
      </c>
      <c r="G164" s="13">
        <f>IFERROR(INDEX(Web!$L:$L,MATCH(F164,Web!$A:$A,0)),"")</f>
        <v/>
      </c>
      <c r="H164" s="13" t="inlineStr">
        <is>
          <t>Cao</t>
        </is>
      </c>
    </row>
    <row r="165">
      <c r="A165" s="13">
        <f>IF(G165="Đạt","☑",IF(G165="Lỗi","✗",IF(G165="Bỏ qua","–","☐")))</f>
        <v/>
      </c>
      <c r="B165" s="13" t="n">
        <v>154</v>
      </c>
      <c r="C165" s="13" t="inlineStr">
        <is>
          <t>Web</t>
        </is>
      </c>
      <c r="D165" s="14" t="inlineStr">
        <is>
          <t>Công nợ NCC 4.2.3</t>
        </is>
      </c>
      <c r="E165" s="14" t="inlineStr">
        <is>
          <t>Xem gộp, lịch sử công nợ, thanh toán ngay</t>
        </is>
      </c>
      <c r="F165" s="13" t="inlineStr">
        <is>
          <t>W-MH-010</t>
        </is>
      </c>
      <c r="G165" s="13">
        <f>IFERROR(INDEX(Web!$L:$L,MATCH(F165,Web!$A:$A,0)),"")</f>
        <v/>
      </c>
      <c r="H165" s="13" t="inlineStr">
        <is>
          <t>Trung bình</t>
        </is>
      </c>
    </row>
    <row r="166">
      <c r="A166" s="13">
        <f>IF(G166="Đạt","☑",IF(G166="Lỗi","✗",IF(G166="Bỏ qua","–","☐")))</f>
        <v/>
      </c>
      <c r="B166" s="13" t="n">
        <v>155</v>
      </c>
      <c r="C166" s="13" t="inlineStr">
        <is>
          <t>Web</t>
        </is>
      </c>
      <c r="D166" s="14" t="inlineStr">
        <is>
          <t>Bảng kê chi tiết mua hàng</t>
        </is>
      </c>
      <c r="E166" s="14" t="inlineStr">
        <is>
          <t>Bảng kê khớp phiếu</t>
        </is>
      </c>
      <c r="F166" s="13" t="inlineStr">
        <is>
          <t>W-MH-011</t>
        </is>
      </c>
      <c r="G166" s="13">
        <f>IFERROR(INDEX(Web!$L:$L,MATCH(F166,Web!$A:$A,0)),"")</f>
        <v/>
      </c>
      <c r="H166" s="13" t="inlineStr">
        <is>
          <t>Trung bình</t>
        </is>
      </c>
    </row>
    <row r="167">
      <c r="A167" s="13">
        <f>IF(G167="Đạt","☑",IF(G167="Lỗi","✗",IF(G167="Bỏ qua","–","☐")))</f>
        <v/>
      </c>
      <c r="B167" s="13" t="n">
        <v>156</v>
      </c>
      <c r="C167" s="13" t="inlineStr">
        <is>
          <t>App</t>
        </is>
      </c>
      <c r="D167" s="14" t="inlineStr">
        <is>
          <t>Danh sách mua hàng</t>
        </is>
      </c>
      <c r="E167" s="14" t="inlineStr">
        <is>
          <t>Tab danh sách</t>
        </is>
      </c>
      <c r="F167" s="13" t="inlineStr">
        <is>
          <t>A-MH-001</t>
        </is>
      </c>
      <c r="G167" s="13">
        <f>IFERROR(INDEX(App!$L:$L,MATCH(F167,App!$A:$A,0)),"")</f>
        <v/>
      </c>
      <c r="H167" s="13" t="inlineStr">
        <is>
          <t>Trung bình</t>
        </is>
      </c>
    </row>
    <row r="168">
      <c r="A168" s="13">
        <f>IF(G168="Đạt","☑",IF(G168="Lỗi","✗",IF(G168="Bỏ qua","–","☐")))</f>
        <v/>
      </c>
      <c r="B168" s="13" t="n">
        <v>157</v>
      </c>
      <c r="C168" s="13" t="inlineStr">
        <is>
          <t>App</t>
        </is>
      </c>
      <c r="D168" s="14" t="inlineStr">
        <is>
          <t>Lập phiếu mua</t>
        </is>
      </c>
      <c r="E168" s="14" t="inlineStr">
        <is>
          <t>Lập phiếu còn nợ</t>
        </is>
      </c>
      <c r="F168" s="13" t="inlineStr">
        <is>
          <t>A-MH-002</t>
        </is>
      </c>
      <c r="G168" s="13">
        <f>IFERROR(INDEX(App!$L:$L,MATCH(F168,App!$A:$A,0)),"")</f>
        <v/>
      </c>
      <c r="H168" s="13" t="inlineStr">
        <is>
          <t>Cao</t>
        </is>
      </c>
    </row>
    <row r="169">
      <c r="A169" s="13">
        <f>IF(G169="Đạt","☑",IF(G169="Lỗi","✗",IF(G169="Bỏ qua","–","☐")))</f>
        <v/>
      </c>
      <c r="B169" s="13" t="n">
        <v>158</v>
      </c>
      <c r="C169" s="13" t="inlineStr">
        <is>
          <t>App</t>
        </is>
      </c>
      <c r="D169" s="14" t="inlineStr">
        <is>
          <t>Lập phiếu mua</t>
        </is>
      </c>
      <c r="E169" s="14" t="inlineStr">
        <is>
          <t>Kiểm tra khi lưu</t>
        </is>
      </c>
      <c r="F169" s="13" t="inlineStr">
        <is>
          <t>A-MH-003</t>
        </is>
      </c>
      <c r="G169" s="13">
        <f>IFERROR(INDEX(App!$L:$L,MATCH(F169,App!$A:$A,0)),"")</f>
        <v/>
      </c>
      <c r="H169" s="13" t="inlineStr">
        <is>
          <t>Cao</t>
        </is>
      </c>
    </row>
    <row r="170">
      <c r="A170" s="13">
        <f>IF(G170="Đạt","☑",IF(G170="Lỗi","✗",IF(G170="Bỏ qua","–","☐")))</f>
        <v/>
      </c>
      <c r="B170" s="13" t="n">
        <v>159</v>
      </c>
      <c r="C170" s="13" t="inlineStr">
        <is>
          <t>App</t>
        </is>
      </c>
      <c r="D170" s="14" t="inlineStr">
        <is>
          <t>Lập phiếu mua</t>
        </is>
      </c>
      <c r="E170" s="14" t="inlineStr">
        <is>
          <t>Đã thanh toán</t>
        </is>
      </c>
      <c r="F170" s="13" t="inlineStr">
        <is>
          <t>A-MH-004</t>
        </is>
      </c>
      <c r="G170" s="13">
        <f>IFERROR(INDEX(App!$L:$L,MATCH(F170,App!$A:$A,0)),"")</f>
        <v/>
      </c>
      <c r="H170" s="13" t="inlineStr">
        <is>
          <t>Cao</t>
        </is>
      </c>
    </row>
    <row r="171">
      <c r="A171" s="13">
        <f>IF(G171="Đạt","☑",IF(G171="Lỗi","✗",IF(G171="Bỏ qua","–","☐")))</f>
        <v/>
      </c>
      <c r="B171" s="13" t="n">
        <v>160</v>
      </c>
      <c r="C171" s="13" t="inlineStr">
        <is>
          <t>App</t>
        </is>
      </c>
      <c r="D171" s="14" t="inlineStr">
        <is>
          <t>Lập phiếu mua</t>
        </is>
      </c>
      <c r="E171" s="14" t="inlineStr">
        <is>
          <t>Nhận kèm hoá đơn</t>
        </is>
      </c>
      <c r="F171" s="13" t="inlineStr">
        <is>
          <t>A-MH-005</t>
        </is>
      </c>
      <c r="G171" s="13">
        <f>IFERROR(INDEX(App!$L:$L,MATCH(F171,App!$A:$A,0)),"")</f>
        <v/>
      </c>
      <c r="H171" s="13" t="inlineStr">
        <is>
          <t>Cao</t>
        </is>
      </c>
    </row>
    <row r="172">
      <c r="A172" s="13">
        <f>IF(G172="Đạt","☑",IF(G172="Lỗi","✗",IF(G172="Bỏ qua","–","☐")))</f>
        <v/>
      </c>
      <c r="B172" s="13" t="n">
        <v>161</v>
      </c>
      <c r="C172" s="13" t="inlineStr">
        <is>
          <t>App</t>
        </is>
      </c>
      <c r="D172" s="14" t="inlineStr">
        <is>
          <t>Lập phiếu mua</t>
        </is>
      </c>
      <c r="E172" s="14" t="inlineStr">
        <is>
          <t>Thêm nhanh nhà cung cấp</t>
        </is>
      </c>
      <c r="F172" s="13" t="inlineStr">
        <is>
          <t>A-MH-006</t>
        </is>
      </c>
      <c r="G172" s="13">
        <f>IFERROR(INDEX(App!$L:$L,MATCH(F172,App!$A:$A,0)),"")</f>
        <v/>
      </c>
      <c r="H172" s="13" t="inlineStr">
        <is>
          <t>Trung bình</t>
        </is>
      </c>
    </row>
    <row r="173">
      <c r="A173" s="13">
        <f>IF(G173="Đạt","☑",IF(G173="Lỗi","✗",IF(G173="Bỏ qua","–","☐")))</f>
        <v/>
      </c>
      <c r="B173" s="13" t="n">
        <v>162</v>
      </c>
      <c r="C173" s="13" t="inlineStr">
        <is>
          <t>App</t>
        </is>
      </c>
      <c r="D173" s="14" t="inlineStr">
        <is>
          <t>Xem phiếu mua</t>
        </is>
      </c>
      <c r="E173" s="14" t="inlineStr">
        <is>
          <t>Thanh toán phiếu còn nợ</t>
        </is>
      </c>
      <c r="F173" s="13" t="inlineStr">
        <is>
          <t>A-MH-007</t>
        </is>
      </c>
      <c r="G173" s="13">
        <f>IFERROR(INDEX(App!$L:$L,MATCH(F173,App!$A:$A,0)),"")</f>
        <v/>
      </c>
      <c r="H173" s="13" t="inlineStr">
        <is>
          <t>Cao</t>
        </is>
      </c>
    </row>
    <row r="174">
      <c r="A174" s="13">
        <f>IF(G174="Đạt","☑",IF(G174="Lỗi","✗",IF(G174="Bỏ qua","–","☐")))</f>
        <v/>
      </c>
      <c r="B174" s="13" t="n">
        <v>163</v>
      </c>
      <c r="C174" s="13" t="inlineStr">
        <is>
          <t>App</t>
        </is>
      </c>
      <c r="D174" s="14" t="inlineStr">
        <is>
          <t>Xem phiếu mua</t>
        </is>
      </c>
      <c r="E174" s="14" t="inlineStr">
        <is>
          <t>Phiếu đã trả không sửa</t>
        </is>
      </c>
      <c r="F174" s="13" t="inlineStr">
        <is>
          <t>A-MH-008</t>
        </is>
      </c>
      <c r="G174" s="13">
        <f>IFERROR(INDEX(App!$L:$L,MATCH(F174,App!$A:$A,0)),"")</f>
        <v/>
      </c>
      <c r="H174" s="13" t="inlineStr">
        <is>
          <t>Cao</t>
        </is>
      </c>
    </row>
    <row r="175">
      <c r="A175" s="12" t="inlineStr">
        <is>
          <t>Kiểm kê</t>
        </is>
      </c>
      <c r="B175" s="12" t="n"/>
      <c r="C175" s="12" t="n"/>
      <c r="D175" s="12" t="n"/>
      <c r="E175" s="12" t="n"/>
      <c r="F175" s="12" t="n"/>
      <c r="G175" s="12">
        <f>COUNTIF(G176:G191,"Đạt")&amp;"/16 đạt"</f>
        <v/>
      </c>
      <c r="H175" s="12" t="n"/>
    </row>
    <row r="176">
      <c r="A176" s="13">
        <f>IF(G176="Đạt","☑",IF(G176="Lỗi","✗",IF(G176="Bỏ qua","–","☐")))</f>
        <v/>
      </c>
      <c r="B176" s="13" t="n">
        <v>164</v>
      </c>
      <c r="C176" s="13" t="inlineStr">
        <is>
          <t>Web</t>
        </is>
      </c>
      <c r="D176" s="14" t="inlineStr">
        <is>
          <t>Quy trình</t>
        </is>
      </c>
      <c r="E176" s="14" t="inlineStr">
        <is>
          <t>Sơ đồ quy trình kiểm kê</t>
        </is>
      </c>
      <c r="F176" s="13" t="inlineStr">
        <is>
          <t>W-KK-001</t>
        </is>
      </c>
      <c r="G176" s="13">
        <f>IFERROR(INDEX(Web!$L:$L,MATCH(F176,Web!$A:$A,0)),"")</f>
        <v/>
      </c>
      <c r="H176" s="13" t="inlineStr">
        <is>
          <t>Thấp</t>
        </is>
      </c>
    </row>
    <row r="177">
      <c r="A177" s="13">
        <f>IF(G177="Đạt","☑",IF(G177="Lỗi","✗",IF(G177="Bỏ qua","–","☐")))</f>
        <v/>
      </c>
      <c r="B177" s="13" t="n">
        <v>165</v>
      </c>
      <c r="C177" s="13" t="inlineStr">
        <is>
          <t>Web</t>
        </is>
      </c>
      <c r="D177" s="14" t="inlineStr">
        <is>
          <t>Phiếu kiểm kê 5.1.10</t>
        </is>
      </c>
      <c r="E177" s="14" t="inlineStr">
        <is>
          <t>Lập phiếu kiểm kê theo số lượng</t>
        </is>
      </c>
      <c r="F177" s="13" t="inlineStr">
        <is>
          <t>W-KK-002</t>
        </is>
      </c>
      <c r="G177" s="13">
        <f>IFERROR(INDEX(Web!$L:$L,MATCH(F177,Web!$A:$A,0)),"")</f>
        <v/>
      </c>
      <c r="H177" s="13" t="inlineStr">
        <is>
          <t>Cao</t>
        </is>
      </c>
    </row>
    <row r="178">
      <c r="A178" s="13">
        <f>IF(G178="Đạt","☑",IF(G178="Lỗi","✗",IF(G178="Bỏ qua","–","☐")))</f>
        <v/>
      </c>
      <c r="B178" s="13" t="n">
        <v>166</v>
      </c>
      <c r="C178" s="13" t="inlineStr">
        <is>
          <t>Web</t>
        </is>
      </c>
      <c r="D178" s="14" t="inlineStr">
        <is>
          <t>Phiếu kiểm kê 5.1.10</t>
        </is>
      </c>
      <c r="E178" s="14" t="inlineStr">
        <is>
          <t>Sinh phiếu điều chỉnh</t>
        </is>
      </c>
      <c r="F178" s="13" t="inlineStr">
        <is>
          <t>W-KK-003</t>
        </is>
      </c>
      <c r="G178" s="13">
        <f>IFERROR(INDEX(Web!$L:$L,MATCH(F178,Web!$A:$A,0)),"")</f>
        <v/>
      </c>
      <c r="H178" s="13" t="inlineStr">
        <is>
          <t>Cao</t>
        </is>
      </c>
    </row>
    <row r="179">
      <c r="A179" s="13">
        <f>IF(G179="Đạt","☑",IF(G179="Lỗi","✗",IF(G179="Bỏ qua","–","☐")))</f>
        <v/>
      </c>
      <c r="B179" s="13" t="n">
        <v>167</v>
      </c>
      <c r="C179" s="13" t="inlineStr">
        <is>
          <t>Web</t>
        </is>
      </c>
      <c r="D179" s="14" t="inlineStr">
        <is>
          <t>Phiếu kiểm kê 5.1.10</t>
        </is>
      </c>
      <c r="E179" s="14" t="inlineStr">
        <is>
          <t>Sửa, xoá phiếu đã sinh điều chỉnh</t>
        </is>
      </c>
      <c r="F179" s="13" t="inlineStr">
        <is>
          <t>W-KK-004</t>
        </is>
      </c>
      <c r="G179" s="13">
        <f>IFERROR(INDEX(Web!$L:$L,MATCH(F179,Web!$A:$A,0)),"")</f>
        <v/>
      </c>
      <c r="H179" s="13" t="inlineStr">
        <is>
          <t>Cao</t>
        </is>
      </c>
    </row>
    <row r="180">
      <c r="A180" s="13">
        <f>IF(G180="Đạt","☑",IF(G180="Lỗi","✗",IF(G180="Bỏ qua","–","☐")))</f>
        <v/>
      </c>
      <c r="B180" s="13" t="n">
        <v>168</v>
      </c>
      <c r="C180" s="13" t="inlineStr">
        <is>
          <t>Web</t>
        </is>
      </c>
      <c r="D180" s="14" t="inlineStr">
        <is>
          <t>Xuất, nhập điều chỉnh</t>
        </is>
      </c>
      <c r="E180" s="14" t="inlineStr">
        <is>
          <t>Chỉ xem, không có giá trị</t>
        </is>
      </c>
      <c r="F180" s="13" t="inlineStr">
        <is>
          <t>W-KK-005</t>
        </is>
      </c>
      <c r="G180" s="13">
        <f>IFERROR(INDEX(Web!$L:$L,MATCH(F180,Web!$A:$A,0)),"")</f>
        <v/>
      </c>
      <c r="H180" s="13" t="inlineStr">
        <is>
          <t>Trung bình</t>
        </is>
      </c>
    </row>
    <row r="181">
      <c r="A181" s="13">
        <f>IF(G181="Đạt","☑",IF(G181="Lỗi","✗",IF(G181="Bỏ qua","–","☐")))</f>
        <v/>
      </c>
      <c r="B181" s="13" t="n">
        <v>169</v>
      </c>
      <c r="C181" s="13" t="inlineStr">
        <is>
          <t>Web</t>
        </is>
      </c>
      <c r="D181" s="14" t="inlineStr">
        <is>
          <t>Xuất nhập tồn 5.2.3</t>
        </is>
      </c>
      <c r="E181" s="14" t="inlineStr">
        <is>
          <t>Chỉ số lượng, khớp kiểm kê</t>
        </is>
      </c>
      <c r="F181" s="13" t="inlineStr">
        <is>
          <t>W-KK-006</t>
        </is>
      </c>
      <c r="G181" s="13">
        <f>IFERROR(INDEX(Web!$L:$L,MATCH(F181,Web!$A:$A,0)),"")</f>
        <v/>
      </c>
      <c r="H181" s="13" t="inlineStr">
        <is>
          <t>Cao</t>
        </is>
      </c>
    </row>
    <row r="182">
      <c r="A182" s="13">
        <f>IF(G182="Đạt","☑",IF(G182="Lỗi","✗",IF(G182="Bỏ qua","–","☐")))</f>
        <v/>
      </c>
      <c r="B182" s="13" t="n">
        <v>170</v>
      </c>
      <c r="C182" s="13" t="inlineStr">
        <is>
          <t>Web</t>
        </is>
      </c>
      <c r="D182" s="14" t="inlineStr">
        <is>
          <t>Xuất nhập tồn 5.2.3</t>
        </is>
      </c>
      <c r="E182" s="14" t="inlineStr">
        <is>
          <t>Mở Thẻ kho 5.2.1</t>
        </is>
      </c>
      <c r="F182" s="13" t="inlineStr">
        <is>
          <t>W-KK-007</t>
        </is>
      </c>
      <c r="G182" s="13">
        <f>IFERROR(INDEX(Web!$L:$L,MATCH(F182,Web!$A:$A,0)),"")</f>
        <v/>
      </c>
      <c r="H182" s="13" t="inlineStr">
        <is>
          <t>Trung bình</t>
        </is>
      </c>
    </row>
    <row r="183">
      <c r="A183" s="13">
        <f>IF(G183="Đạt","☑",IF(G183="Lỗi","✗",IF(G183="Bỏ qua","–","☐")))</f>
        <v/>
      </c>
      <c r="B183" s="13" t="n">
        <v>171</v>
      </c>
      <c r="C183" s="13" t="inlineStr">
        <is>
          <t>Web</t>
        </is>
      </c>
      <c r="D183" s="14" t="inlineStr">
        <is>
          <t>Tổng hợp nhập kho 5.2.9</t>
        </is>
      </c>
      <c r="E183" s="14" t="inlineStr">
        <is>
          <t>Tổng hợp nhập khớp phiếu mua, nhập điều chỉnh</t>
        </is>
      </c>
      <c r="F183" s="13" t="inlineStr">
        <is>
          <t>W-KK-008</t>
        </is>
      </c>
      <c r="G183" s="13">
        <f>IFERROR(INDEX(Web!$L:$L,MATCH(F183,Web!$A:$A,0)),"")</f>
        <v/>
      </c>
      <c r="H183" s="13" t="inlineStr">
        <is>
          <t>Trung bình</t>
        </is>
      </c>
    </row>
    <row r="184">
      <c r="A184" s="13">
        <f>IF(G184="Đạt","☑",IF(G184="Lỗi","✗",IF(G184="Bỏ qua","–","☐")))</f>
        <v/>
      </c>
      <c r="B184" s="13" t="n">
        <v>172</v>
      </c>
      <c r="C184" s="13" t="inlineStr">
        <is>
          <t>Web</t>
        </is>
      </c>
      <c r="D184" s="14" t="inlineStr">
        <is>
          <t>Chi tiết nhập kho 5.2.10</t>
        </is>
      </c>
      <c r="E184" s="14" t="inlineStr">
        <is>
          <t>Chi tiết nhập kho</t>
        </is>
      </c>
      <c r="F184" s="13" t="inlineStr">
        <is>
          <t>W-KK-009</t>
        </is>
      </c>
      <c r="G184" s="13">
        <f>IFERROR(INDEX(Web!$L:$L,MATCH(F184,Web!$A:$A,0)),"")</f>
        <v/>
      </c>
      <c r="H184" s="13" t="inlineStr">
        <is>
          <t>Trung bình</t>
        </is>
      </c>
    </row>
    <row r="185">
      <c r="A185" s="13">
        <f>IF(G185="Đạt","☑",IF(G185="Lỗi","✗",IF(G185="Bỏ qua","–","☐")))</f>
        <v/>
      </c>
      <c r="B185" s="13" t="n">
        <v>173</v>
      </c>
      <c r="C185" s="13" t="inlineStr">
        <is>
          <t>Web</t>
        </is>
      </c>
      <c r="D185" s="14" t="inlineStr">
        <is>
          <t>Báo cáo kiểm kê 5.2.15</t>
        </is>
      </c>
      <c r="E185" s="14" t="inlineStr">
        <is>
          <t>Báo cáo kiểm kê khớp phiếu</t>
        </is>
      </c>
      <c r="F185" s="13" t="inlineStr">
        <is>
          <t>W-KK-010</t>
        </is>
      </c>
      <c r="G185" s="13">
        <f>IFERROR(INDEX(Web!$L:$L,MATCH(F185,Web!$A:$A,0)),"")</f>
        <v/>
      </c>
      <c r="H185" s="13" t="inlineStr">
        <is>
          <t>Trung bình</t>
        </is>
      </c>
    </row>
    <row r="186">
      <c r="A186" s="13">
        <f>IF(G186="Đạt","☑",IF(G186="Lỗi","✗",IF(G186="Bỏ qua","–","☐")))</f>
        <v/>
      </c>
      <c r="B186" s="13" t="n">
        <v>174</v>
      </c>
      <c r="C186" s="13" t="inlineStr">
        <is>
          <t>Web</t>
        </is>
      </c>
      <c r="D186" s="14" t="inlineStr">
        <is>
          <t>Kiểm kê (chung)</t>
        </is>
      </c>
      <c r="E186" s="14" t="inlineStr">
        <is>
          <t>Báo cáo kho ẩn</t>
        </is>
      </c>
      <c r="F186" s="13" t="inlineStr">
        <is>
          <t>W-KK-011</t>
        </is>
      </c>
      <c r="G186" s="13">
        <f>IFERROR(INDEX(Web!$L:$L,MATCH(F186,Web!$A:$A,0)),"")</f>
        <v/>
      </c>
      <c r="H186" s="13" t="inlineStr">
        <is>
          <t>Thấp</t>
        </is>
      </c>
    </row>
    <row r="187">
      <c r="A187" s="13">
        <f>IF(G187="Đạt","☑",IF(G187="Lỗi","✗",IF(G187="Bỏ qua","–","☐")))</f>
        <v/>
      </c>
      <c r="B187" s="13" t="n">
        <v>175</v>
      </c>
      <c r="C187" s="13" t="inlineStr">
        <is>
          <t>App</t>
        </is>
      </c>
      <c r="D187" s="14" t="inlineStr">
        <is>
          <t>Danh sách kiểm kê</t>
        </is>
      </c>
      <c r="E187" s="14" t="inlineStr">
        <is>
          <t>4 tab</t>
        </is>
      </c>
      <c r="F187" s="13" t="inlineStr">
        <is>
          <t>A-KK-001</t>
        </is>
      </c>
      <c r="G187" s="13">
        <f>IFERROR(INDEX(App!$L:$L,MATCH(F187,App!$A:$A,0)),"")</f>
        <v/>
      </c>
      <c r="H187" s="13" t="inlineStr">
        <is>
          <t>Trung bình</t>
        </is>
      </c>
    </row>
    <row r="188">
      <c r="A188" s="13">
        <f>IF(G188="Đạt","☑",IF(G188="Lỗi","✗",IF(G188="Bỏ qua","–","☐")))</f>
        <v/>
      </c>
      <c r="B188" s="13" t="n">
        <v>176</v>
      </c>
      <c r="C188" s="13" t="inlineStr">
        <is>
          <t>App</t>
        </is>
      </c>
      <c r="D188" s="14" t="inlineStr">
        <is>
          <t>Lập phiếu kiểm kê</t>
        </is>
      </c>
      <c r="E188" s="14" t="inlineStr">
        <is>
          <t>Lập phiếu kiểm kê</t>
        </is>
      </c>
      <c r="F188" s="13" t="inlineStr">
        <is>
          <t>A-KK-002</t>
        </is>
      </c>
      <c r="G188" s="13">
        <f>IFERROR(INDEX(App!$L:$L,MATCH(F188,App!$A:$A,0)),"")</f>
        <v/>
      </c>
      <c r="H188" s="13" t="inlineStr">
        <is>
          <t>Cao</t>
        </is>
      </c>
    </row>
    <row r="189">
      <c r="A189" s="13">
        <f>IF(G189="Đạt","☑",IF(G189="Lỗi","✗",IF(G189="Bỏ qua","–","☐")))</f>
        <v/>
      </c>
      <c r="B189" s="13" t="n">
        <v>177</v>
      </c>
      <c r="C189" s="13" t="inlineStr">
        <is>
          <t>App</t>
        </is>
      </c>
      <c r="D189" s="14" t="inlineStr">
        <is>
          <t>Lập phiếu kiểm kê</t>
        </is>
      </c>
      <c r="E189" s="14" t="inlineStr">
        <is>
          <t>Kiểm tra khi lưu</t>
        </is>
      </c>
      <c r="F189" s="13" t="inlineStr">
        <is>
          <t>A-KK-003</t>
        </is>
      </c>
      <c r="G189" s="13">
        <f>IFERROR(INDEX(App!$L:$L,MATCH(F189,App!$A:$A,0)),"")</f>
        <v/>
      </c>
      <c r="H189" s="13" t="inlineStr">
        <is>
          <t>Cao</t>
        </is>
      </c>
    </row>
    <row r="190">
      <c r="A190" s="13">
        <f>IF(G190="Đạt","☑",IF(G190="Lỗi","✗",IF(G190="Bỏ qua","–","☐")))</f>
        <v/>
      </c>
      <c r="B190" s="13" t="n">
        <v>178</v>
      </c>
      <c r="C190" s="13" t="inlineStr">
        <is>
          <t>App</t>
        </is>
      </c>
      <c r="D190" s="14" t="inlineStr">
        <is>
          <t>Phiếu điều chỉnh</t>
        </is>
      </c>
      <c r="E190" s="14" t="inlineStr">
        <is>
          <t>Sinh phiếu điều chỉnh, chỉ xem</t>
        </is>
      </c>
      <c r="F190" s="13" t="inlineStr">
        <is>
          <t>A-KK-004</t>
        </is>
      </c>
      <c r="G190" s="13">
        <f>IFERROR(INDEX(App!$L:$L,MATCH(F190,App!$A:$A,0)),"")</f>
        <v/>
      </c>
      <c r="H190" s="13" t="inlineStr">
        <is>
          <t>Cao</t>
        </is>
      </c>
    </row>
    <row r="191">
      <c r="A191" s="13">
        <f>IF(G191="Đạt","☑",IF(G191="Lỗi","✗",IF(G191="Bỏ qua","–","☐")))</f>
        <v/>
      </c>
      <c r="B191" s="13" t="n">
        <v>179</v>
      </c>
      <c r="C191" s="13" t="inlineStr">
        <is>
          <t>App</t>
        </is>
      </c>
      <c r="D191" s="14" t="inlineStr">
        <is>
          <t>Xem phiếu kiểm kê</t>
        </is>
      </c>
      <c r="E191" s="14" t="inlineStr">
        <is>
          <t>Phiếu đã sinh điều chỉnh</t>
        </is>
      </c>
      <c r="F191" s="13" t="inlineStr">
        <is>
          <t>A-KK-005</t>
        </is>
      </c>
      <c r="G191" s="13">
        <f>IFERROR(INDEX(App!$L:$L,MATCH(F191,App!$A:$A,0)),"")</f>
        <v/>
      </c>
      <c r="H191" s="13" t="inlineStr">
        <is>
          <t>Cao</t>
        </is>
      </c>
    </row>
    <row r="192">
      <c r="A192" s="12" t="inlineStr">
        <is>
          <t>Chi phí phân bổ</t>
        </is>
      </c>
      <c r="B192" s="12" t="n"/>
      <c r="C192" s="12" t="n"/>
      <c r="D192" s="12" t="n"/>
      <c r="E192" s="12" t="n"/>
      <c r="F192" s="12" t="n"/>
      <c r="G192" s="12">
        <f>COUNTIF(G193:G205,"Đạt")&amp;"/13 đạt"</f>
        <v/>
      </c>
      <c r="H192" s="12" t="n"/>
    </row>
    <row r="193">
      <c r="A193" s="13">
        <f>IF(G193="Đạt","☑",IF(G193="Lỗi","✗",IF(G193="Bỏ qua","–","☐")))</f>
        <v/>
      </c>
      <c r="B193" s="13" t="n">
        <v>180</v>
      </c>
      <c r="C193" s="13" t="inlineStr">
        <is>
          <t>Web</t>
        </is>
      </c>
      <c r="D193" s="14" t="inlineStr">
        <is>
          <t>Quy trình</t>
        </is>
      </c>
      <c r="E193" s="14" t="inlineStr">
        <is>
          <t>Sơ đồ quy trình chi phí phân bổ</t>
        </is>
      </c>
      <c r="F193" s="13" t="inlineStr">
        <is>
          <t>W-PB-001</t>
        </is>
      </c>
      <c r="G193" s="13">
        <f>IFERROR(INDEX(Web!$L:$L,MATCH(F193,Web!$A:$A,0)),"")</f>
        <v/>
      </c>
      <c r="H193" s="13" t="inlineStr">
        <is>
          <t>Thấp</t>
        </is>
      </c>
    </row>
    <row r="194">
      <c r="A194" s="13">
        <f>IF(G194="Đạt","☑",IF(G194="Lỗi","✗",IF(G194="Bỏ qua","–","☐")))</f>
        <v/>
      </c>
      <c r="B194" s="13" t="n">
        <v>181</v>
      </c>
      <c r="C194" s="13" t="inlineStr">
        <is>
          <t>Web</t>
        </is>
      </c>
      <c r="D194" s="14" t="inlineStr">
        <is>
          <t>Chi phí phân bổ 8.1.1</t>
        </is>
      </c>
      <c r="E194" s="14" t="inlineStr">
        <is>
          <t>Chỉ thẻ Chi phí trả trước</t>
        </is>
      </c>
      <c r="F194" s="13" t="inlineStr">
        <is>
          <t>W-PB-002</t>
        </is>
      </c>
      <c r="G194" s="13">
        <f>IFERROR(INDEX(Web!$L:$L,MATCH(F194,Web!$A:$A,0)),"")</f>
        <v/>
      </c>
      <c r="H194" s="13" t="inlineStr">
        <is>
          <t>Cao</t>
        </is>
      </c>
    </row>
    <row r="195">
      <c r="A195" s="13">
        <f>IF(G195="Đạt","☑",IF(G195="Lỗi","✗",IF(G195="Bỏ qua","–","☐")))</f>
        <v/>
      </c>
      <c r="B195" s="13" t="n">
        <v>182</v>
      </c>
      <c r="C195" s="13" t="inlineStr">
        <is>
          <t>Web</t>
        </is>
      </c>
      <c r="D195" s="14" t="inlineStr">
        <is>
          <t>Chi phí phân bổ 8.1.1</t>
        </is>
      </c>
      <c r="E195" s="14" t="inlineStr">
        <is>
          <t>Ghi tăng hàng loạt từ phiếu chờ</t>
        </is>
      </c>
      <c r="F195" s="13" t="inlineStr">
        <is>
          <t>W-PB-003</t>
        </is>
      </c>
      <c r="G195" s="13">
        <f>IFERROR(INDEX(Web!$L:$L,MATCH(F195,Web!$A:$A,0)),"")</f>
        <v/>
      </c>
      <c r="H195" s="13" t="inlineStr">
        <is>
          <t>Cao</t>
        </is>
      </c>
    </row>
    <row r="196">
      <c r="A196" s="13">
        <f>IF(G196="Đạt","☑",IF(G196="Lỗi","✗",IF(G196="Bỏ qua","–","☐")))</f>
        <v/>
      </c>
      <c r="B196" s="13" t="n">
        <v>183</v>
      </c>
      <c r="C196" s="13" t="inlineStr">
        <is>
          <t>Web</t>
        </is>
      </c>
      <c r="D196" s="14" t="inlineStr">
        <is>
          <t>Chi phí phân bổ 8.1.1</t>
        </is>
      </c>
      <c r="E196" s="14" t="inlineStr">
        <is>
          <t>Lịch phân bổ đều theo tháng</t>
        </is>
      </c>
      <c r="F196" s="13" t="inlineStr">
        <is>
          <t>W-PB-004</t>
        </is>
      </c>
      <c r="G196" s="13">
        <f>IFERROR(INDEX(Web!$L:$L,MATCH(F196,Web!$A:$A,0)),"")</f>
        <v/>
      </c>
      <c r="H196" s="13" t="inlineStr">
        <is>
          <t>Cao</t>
        </is>
      </c>
    </row>
    <row r="197">
      <c r="A197" s="13">
        <f>IF(G197="Đạt","☑",IF(G197="Lỗi","✗",IF(G197="Bỏ qua","–","☐")))</f>
        <v/>
      </c>
      <c r="B197" s="13" t="n">
        <v>184</v>
      </c>
      <c r="C197" s="13" t="inlineStr">
        <is>
          <t>Web</t>
        </is>
      </c>
      <c r="D197" s="14" t="inlineStr">
        <is>
          <t>Chi phí phân bổ 8.1.1</t>
        </is>
      </c>
      <c r="E197" s="14" t="inlineStr">
        <is>
          <t>Trạng thái kỳ, ngừng phân bổ</t>
        </is>
      </c>
      <c r="F197" s="13" t="inlineStr">
        <is>
          <t>W-PB-005</t>
        </is>
      </c>
      <c r="G197" s="13">
        <f>IFERROR(INDEX(Web!$L:$L,MATCH(F197,Web!$A:$A,0)),"")</f>
        <v/>
      </c>
      <c r="H197" s="13" t="inlineStr">
        <is>
          <t>Trung bình</t>
        </is>
      </c>
    </row>
    <row r="198">
      <c r="A198" s="13">
        <f>IF(G198="Đạt","☑",IF(G198="Lỗi","✗",IF(G198="Bỏ qua","–","☐")))</f>
        <v/>
      </c>
      <c r="B198" s="13" t="n">
        <v>185</v>
      </c>
      <c r="C198" s="13" t="inlineStr">
        <is>
          <t>Web</t>
        </is>
      </c>
      <c r="D198" s="14" t="inlineStr">
        <is>
          <t>Chi phí phân bổ 8.1.1</t>
        </is>
      </c>
      <c r="E198" s="14" t="inlineStr">
        <is>
          <t>Xoá thẻ theo khoá sổ</t>
        </is>
      </c>
      <c r="F198" s="13" t="inlineStr">
        <is>
          <t>W-PB-006</t>
        </is>
      </c>
      <c r="G198" s="13">
        <f>IFERROR(INDEX(Web!$L:$L,MATCH(F198,Web!$A:$A,0)),"")</f>
        <v/>
      </c>
      <c r="H198" s="13" t="inlineStr">
        <is>
          <t>Cao</t>
        </is>
      </c>
    </row>
    <row r="199">
      <c r="A199" s="13">
        <f>IF(G199="Đạt","☑",IF(G199="Lỗi","✗",IF(G199="Bỏ qua","–","☐")))</f>
        <v/>
      </c>
      <c r="B199" s="13" t="n">
        <v>186</v>
      </c>
      <c r="C199" s="13" t="inlineStr">
        <is>
          <t>Web</t>
        </is>
      </c>
      <c r="D199" s="14" t="inlineStr">
        <is>
          <t>Chi phí phân bổ 8.1.1</t>
        </is>
      </c>
      <c r="E199" s="14" t="inlineStr">
        <is>
          <t>Khớp trang chủ</t>
        </is>
      </c>
      <c r="F199" s="13" t="inlineStr">
        <is>
          <t>W-PB-007</t>
        </is>
      </c>
      <c r="G199" s="13">
        <f>IFERROR(INDEX(Web!$L:$L,MATCH(F199,Web!$A:$A,0)),"")</f>
        <v/>
      </c>
      <c r="H199" s="13" t="inlineStr">
        <is>
          <t>Trung bình</t>
        </is>
      </c>
    </row>
    <row r="200">
      <c r="A200" s="13">
        <f>IF(G200="Đạt","☑",IF(G200="Lỗi","✗",IF(G200="Bỏ qua","–","☐")))</f>
        <v/>
      </c>
      <c r="B200" s="13" t="n">
        <v>187</v>
      </c>
      <c r="C200" s="13" t="inlineStr">
        <is>
          <t>App</t>
        </is>
      </c>
      <c r="D200" s="14" t="inlineStr">
        <is>
          <t>Danh sách thẻ</t>
        </is>
      </c>
      <c r="E200" s="14" t="inlineStr">
        <is>
          <t>Danh sách thẻ</t>
        </is>
      </c>
      <c r="F200" s="13" t="inlineStr">
        <is>
          <t>A-PB-001</t>
        </is>
      </c>
      <c r="G200" s="13">
        <f>IFERROR(INDEX(App!$L:$L,MATCH(F200,App!$A:$A,0)),"")</f>
        <v/>
      </c>
      <c r="H200" s="13" t="inlineStr">
        <is>
          <t>Trung bình</t>
        </is>
      </c>
    </row>
    <row r="201">
      <c r="A201" s="13">
        <f>IF(G201="Đạt","☑",IF(G201="Lỗi","✗",IF(G201="Bỏ qua","–","☐")))</f>
        <v/>
      </c>
      <c r="B201" s="13" t="n">
        <v>188</v>
      </c>
      <c r="C201" s="13" t="inlineStr">
        <is>
          <t>App</t>
        </is>
      </c>
      <c r="D201" s="14" t="inlineStr">
        <is>
          <t>Thêm thẻ</t>
        </is>
      </c>
      <c r="E201" s="14" t="inlineStr">
        <is>
          <t>Hai kiểu thẻ</t>
        </is>
      </c>
      <c r="F201" s="13" t="inlineStr">
        <is>
          <t>A-PB-002</t>
        </is>
      </c>
      <c r="G201" s="13">
        <f>IFERROR(INDEX(App!$L:$L,MATCH(F201,App!$A:$A,0)),"")</f>
        <v/>
      </c>
      <c r="H201" s="13" t="inlineStr">
        <is>
          <t>Cao</t>
        </is>
      </c>
    </row>
    <row r="202">
      <c r="A202" s="13">
        <f>IF(G202="Đạt","☑",IF(G202="Lỗi","✗",IF(G202="Bỏ qua","–","☐")))</f>
        <v/>
      </c>
      <c r="B202" s="13" t="n">
        <v>189</v>
      </c>
      <c r="C202" s="13" t="inlineStr">
        <is>
          <t>App</t>
        </is>
      </c>
      <c r="D202" s="14" t="inlineStr">
        <is>
          <t>Thêm thẻ</t>
        </is>
      </c>
      <c r="E202" s="14" t="inlineStr">
        <is>
          <t>Kiểm tra khi lưu</t>
        </is>
      </c>
      <c r="F202" s="13" t="inlineStr">
        <is>
          <t>A-PB-003</t>
        </is>
      </c>
      <c r="G202" s="13">
        <f>IFERROR(INDEX(App!$L:$L,MATCH(F202,App!$A:$A,0)),"")</f>
        <v/>
      </c>
      <c r="H202" s="13" t="inlineStr">
        <is>
          <t>Cao</t>
        </is>
      </c>
    </row>
    <row r="203">
      <c r="A203" s="13">
        <f>IF(G203="Đạt","☑",IF(G203="Lỗi","✗",IF(G203="Bỏ qua","–","☐")))</f>
        <v/>
      </c>
      <c r="B203" s="13" t="n">
        <v>190</v>
      </c>
      <c r="C203" s="13" t="inlineStr">
        <is>
          <t>App</t>
        </is>
      </c>
      <c r="D203" s="14" t="inlineStr">
        <is>
          <t>Xem thẻ</t>
        </is>
      </c>
      <c r="E203" s="14" t="inlineStr">
        <is>
          <t>Lịch phân bổ</t>
        </is>
      </c>
      <c r="F203" s="13" t="inlineStr">
        <is>
          <t>A-PB-004</t>
        </is>
      </c>
      <c r="G203" s="13">
        <f>IFERROR(INDEX(App!$L:$L,MATCH(F203,App!$A:$A,0)),"")</f>
        <v/>
      </c>
      <c r="H203" s="13" t="inlineStr">
        <is>
          <t>Cao</t>
        </is>
      </c>
    </row>
    <row r="204">
      <c r="A204" s="13">
        <f>IF(G204="Đạt","☑",IF(G204="Lỗi","✗",IF(G204="Bỏ qua","–","☐")))</f>
        <v/>
      </c>
      <c r="B204" s="13" t="n">
        <v>191</v>
      </c>
      <c r="C204" s="13" t="inlineStr">
        <is>
          <t>App</t>
        </is>
      </c>
      <c r="D204" s="14" t="inlineStr">
        <is>
          <t>Sửa thẻ</t>
        </is>
      </c>
      <c r="E204" s="14" t="inlineStr">
        <is>
          <t>Sửa lịch phân bổ</t>
        </is>
      </c>
      <c r="F204" s="13" t="inlineStr">
        <is>
          <t>A-PB-005</t>
        </is>
      </c>
      <c r="G204" s="13">
        <f>IFERROR(INDEX(App!$L:$L,MATCH(F204,App!$A:$A,0)),"")</f>
        <v/>
      </c>
      <c r="H204" s="13" t="inlineStr">
        <is>
          <t>Trung bình</t>
        </is>
      </c>
    </row>
    <row r="205">
      <c r="A205" s="13">
        <f>IF(G205="Đạt","☑",IF(G205="Lỗi","✗",IF(G205="Bỏ qua","–","☐")))</f>
        <v/>
      </c>
      <c r="B205" s="13" t="n">
        <v>192</v>
      </c>
      <c r="C205" s="13" t="inlineStr">
        <is>
          <t>App</t>
        </is>
      </c>
      <c r="D205" s="14" t="inlineStr">
        <is>
          <t>Xem thẻ</t>
        </is>
      </c>
      <c r="E205" s="14" t="inlineStr">
        <is>
          <t>Sao chép, xoá thẻ</t>
        </is>
      </c>
      <c r="F205" s="13" t="inlineStr">
        <is>
          <t>A-PB-006</t>
        </is>
      </c>
      <c r="G205" s="13">
        <f>IFERROR(INDEX(App!$L:$L,MATCH(F205,App!$A:$A,0)),"")</f>
        <v/>
      </c>
      <c r="H205" s="13" t="inlineStr">
        <is>
          <t>Cao</t>
        </is>
      </c>
    </row>
    <row r="206">
      <c r="A206" s="12" t="inlineStr">
        <is>
          <t>Kê khai thuế</t>
        </is>
      </c>
      <c r="B206" s="12" t="n"/>
      <c r="C206" s="12" t="n"/>
      <c r="D206" s="12" t="n"/>
      <c r="E206" s="12" t="n"/>
      <c r="F206" s="12" t="n"/>
      <c r="G206" s="12">
        <f>COUNTIF(G207:G216,"Đạt")&amp;"/10 đạt"</f>
        <v/>
      </c>
      <c r="H206" s="12" t="n"/>
    </row>
    <row r="207">
      <c r="A207" s="13">
        <f>IF(G207="Đạt","☑",IF(G207="Lỗi","✗",IF(G207="Bỏ qua","–","☐")))</f>
        <v/>
      </c>
      <c r="B207" s="13" t="n">
        <v>193</v>
      </c>
      <c r="C207" s="13" t="inlineStr">
        <is>
          <t>Web</t>
        </is>
      </c>
      <c r="D207" s="14" t="inlineStr">
        <is>
          <t>Quy trình</t>
        </is>
      </c>
      <c r="E207" s="14" t="inlineStr">
        <is>
          <t>Sơ đồ quy trình kê khai</t>
        </is>
      </c>
      <c r="F207" s="13" t="inlineStr">
        <is>
          <t>W-TH-001</t>
        </is>
      </c>
      <c r="G207" s="13">
        <f>IFERROR(INDEX(Web!$L:$L,MATCH(F207,Web!$A:$A,0)),"")</f>
        <v/>
      </c>
      <c r="H207" s="13" t="inlineStr">
        <is>
          <t>Thấp</t>
        </is>
      </c>
    </row>
    <row r="208">
      <c r="A208" s="13">
        <f>IF(G208="Đạt","☑",IF(G208="Lỗi","✗",IF(G208="Bỏ qua","–","☐")))</f>
        <v/>
      </c>
      <c r="B208" s="13" t="n">
        <v>194</v>
      </c>
      <c r="C208" s="13" t="inlineStr">
        <is>
          <t>Web</t>
        </is>
      </c>
      <c r="D208" s="14" t="inlineStr">
        <is>
          <t>Kê khai thuế</t>
        </is>
      </c>
      <c r="E208" s="14" t="inlineStr">
        <is>
          <t>Danh sách tờ khai, lọc</t>
        </is>
      </c>
      <c r="F208" s="13" t="inlineStr">
        <is>
          <t>W-TH-002</t>
        </is>
      </c>
      <c r="G208" s="13">
        <f>IFERROR(INDEX(Web!$L:$L,MATCH(F208,Web!$A:$A,0)),"")</f>
        <v/>
      </c>
      <c r="H208" s="13" t="inlineStr">
        <is>
          <t>Trung bình</t>
        </is>
      </c>
    </row>
    <row r="209">
      <c r="A209" s="13">
        <f>IF(G209="Đạt","☑",IF(G209="Lỗi","✗",IF(G209="Bỏ qua","–","☐")))</f>
        <v/>
      </c>
      <c r="B209" s="13" t="n">
        <v>195</v>
      </c>
      <c r="C209" s="13" t="inlineStr">
        <is>
          <t>Web</t>
        </is>
      </c>
      <c r="D209" s="14" t="inlineStr">
        <is>
          <t>Kê khai thuế</t>
        </is>
      </c>
      <c r="E209" s="14" t="inlineStr">
        <is>
          <t>Lập tờ khai 4 bước</t>
        </is>
      </c>
      <c r="F209" s="13" t="inlineStr">
        <is>
          <t>W-TH-003</t>
        </is>
      </c>
      <c r="G209" s="13">
        <f>IFERROR(INDEX(Web!$L:$L,MATCH(F209,Web!$A:$A,0)),"")</f>
        <v/>
      </c>
      <c r="H209" s="13" t="inlineStr">
        <is>
          <t>Cao</t>
        </is>
      </c>
    </row>
    <row r="210">
      <c r="A210" s="13">
        <f>IF(G210="Đạt","☑",IF(G210="Lỗi","✗",IF(G210="Bỏ qua","–","☐")))</f>
        <v/>
      </c>
      <c r="B210" s="13" t="n">
        <v>196</v>
      </c>
      <c r="C210" s="13" t="inlineStr">
        <is>
          <t>Web</t>
        </is>
      </c>
      <c r="D210" s="14" t="inlineStr">
        <is>
          <t>Kê khai thuế</t>
        </is>
      </c>
      <c r="E210" s="14" t="inlineStr">
        <is>
          <t>Công thức thuế</t>
        </is>
      </c>
      <c r="F210" s="13" t="inlineStr">
        <is>
          <t>W-TH-004</t>
        </is>
      </c>
      <c r="G210" s="13">
        <f>IFERROR(INDEX(Web!$L:$L,MATCH(F210,Web!$A:$A,0)),"")</f>
        <v/>
      </c>
      <c r="H210" s="13" t="inlineStr">
        <is>
          <t>Cao</t>
        </is>
      </c>
    </row>
    <row r="211">
      <c r="A211" s="13">
        <f>IF(G211="Đạt","☑",IF(G211="Lỗi","✗",IF(G211="Bỏ qua","–","☐")))</f>
        <v/>
      </c>
      <c r="B211" s="13" t="n">
        <v>197</v>
      </c>
      <c r="C211" s="13" t="inlineStr">
        <is>
          <t>Web</t>
        </is>
      </c>
      <c r="D211" s="14" t="inlineStr">
        <is>
          <t>Kê khai thuế</t>
        </is>
      </c>
      <c r="E211" s="14" t="inlineStr">
        <is>
          <t>Lập lại kỳ đã có thành bổ sung</t>
        </is>
      </c>
      <c r="F211" s="13" t="inlineStr">
        <is>
          <t>W-TH-005</t>
        </is>
      </c>
      <c r="G211" s="13">
        <f>IFERROR(INDEX(Web!$L:$L,MATCH(F211,Web!$A:$A,0)),"")</f>
        <v/>
      </c>
      <c r="H211" s="13" t="inlineStr">
        <is>
          <t>Trung bình</t>
        </is>
      </c>
    </row>
    <row r="212">
      <c r="A212" s="13">
        <f>IF(G212="Đạt","☑",IF(G212="Lỗi","✗",IF(G212="Bỏ qua","–","☐")))</f>
        <v/>
      </c>
      <c r="B212" s="13" t="n">
        <v>198</v>
      </c>
      <c r="C212" s="13" t="inlineStr">
        <is>
          <t>Web</t>
        </is>
      </c>
      <c r="D212" s="14" t="inlineStr">
        <is>
          <t>Kê khai thuế</t>
        </is>
      </c>
      <c r="E212" s="14" t="inlineStr">
        <is>
          <t>Nhóm doanh thu khoá theo thiết lập</t>
        </is>
      </c>
      <c r="F212" s="13" t="inlineStr">
        <is>
          <t>W-TH-006</t>
        </is>
      </c>
      <c r="G212" s="13">
        <f>IFERROR(INDEX(Web!$L:$L,MATCH(F212,Web!$A:$A,0)),"")</f>
        <v/>
      </c>
      <c r="H212" s="13" t="inlineStr">
        <is>
          <t>Trung bình</t>
        </is>
      </c>
    </row>
    <row r="213">
      <c r="A213" s="13">
        <f>IF(G213="Đạt","☑",IF(G213="Lỗi","✗",IF(G213="Bỏ qua","–","☐")))</f>
        <v/>
      </c>
      <c r="B213" s="13" t="n">
        <v>199</v>
      </c>
      <c r="C213" s="13" t="inlineStr">
        <is>
          <t>App</t>
        </is>
      </c>
      <c r="D213" s="14" t="inlineStr">
        <is>
          <t>Danh sách tờ khai</t>
        </is>
      </c>
      <c r="E213" s="14" t="inlineStr">
        <is>
          <t>Danh sách, lọc</t>
        </is>
      </c>
      <c r="F213" s="13" t="inlineStr">
        <is>
          <t>A-TH-001</t>
        </is>
      </c>
      <c r="G213" s="13">
        <f>IFERROR(INDEX(App!$L:$L,MATCH(F213,App!$A:$A,0)),"")</f>
        <v/>
      </c>
      <c r="H213" s="13" t="inlineStr">
        <is>
          <t>Trung bình</t>
        </is>
      </c>
    </row>
    <row r="214">
      <c r="A214" s="13">
        <f>IF(G214="Đạt","☑",IF(G214="Lỗi","✗",IF(G214="Bỏ qua","–","☐")))</f>
        <v/>
      </c>
      <c r="B214" s="13" t="n">
        <v>200</v>
      </c>
      <c r="C214" s="13" t="inlineStr">
        <is>
          <t>App</t>
        </is>
      </c>
      <c r="D214" s="14" t="inlineStr">
        <is>
          <t>Lập tờ khai</t>
        </is>
      </c>
      <c r="E214" s="14" t="inlineStr">
        <is>
          <t>Tờ khai 4 bước</t>
        </is>
      </c>
      <c r="F214" s="13" t="inlineStr">
        <is>
          <t>A-TH-002</t>
        </is>
      </c>
      <c r="G214" s="13">
        <f>IFERROR(INDEX(App!$L:$L,MATCH(F214,App!$A:$A,0)),"")</f>
        <v/>
      </c>
      <c r="H214" s="13" t="inlineStr">
        <is>
          <t>Cao</t>
        </is>
      </c>
    </row>
    <row r="215">
      <c r="A215" s="13">
        <f>IF(G215="Đạt","☑",IF(G215="Lỗi","✗",IF(G215="Bỏ qua","–","☐")))</f>
        <v/>
      </c>
      <c r="B215" s="13" t="n">
        <v>201</v>
      </c>
      <c r="C215" s="13" t="inlineStr">
        <is>
          <t>App</t>
        </is>
      </c>
      <c r="D215" s="14" t="inlineStr">
        <is>
          <t>Lập tờ khai</t>
        </is>
      </c>
      <c r="E215" s="14" t="inlineStr">
        <is>
          <t>Kỳ đã có tờ khai</t>
        </is>
      </c>
      <c r="F215" s="13" t="inlineStr">
        <is>
          <t>A-TH-003</t>
        </is>
      </c>
      <c r="G215" s="13">
        <f>IFERROR(INDEX(App!$L:$L,MATCH(F215,App!$A:$A,0)),"")</f>
        <v/>
      </c>
      <c r="H215" s="13" t="inlineStr">
        <is>
          <t>Trung bình</t>
        </is>
      </c>
    </row>
    <row r="216">
      <c r="A216" s="13">
        <f>IF(G216="Đạt","☑",IF(G216="Lỗi","✗",IF(G216="Bỏ qua","–","☐")))</f>
        <v/>
      </c>
      <c r="B216" s="13" t="n">
        <v>202</v>
      </c>
      <c r="C216" s="13" t="inlineStr">
        <is>
          <t>App</t>
        </is>
      </c>
      <c r="D216" s="14" t="inlineStr">
        <is>
          <t>Báo cáo theo dõi thuế</t>
        </is>
      </c>
      <c r="E216" s="14" t="inlineStr">
        <is>
          <t>Báo cáo theo dõi</t>
        </is>
      </c>
      <c r="F216" s="13" t="inlineStr">
        <is>
          <t>A-TH-004</t>
        </is>
      </c>
      <c r="G216" s="13">
        <f>IFERROR(INDEX(App!$L:$L,MATCH(F216,App!$A:$A,0)),"")</f>
        <v/>
      </c>
      <c r="H216" s="13" t="inlineStr">
        <is>
          <t>Thấp</t>
        </is>
      </c>
    </row>
    <row r="217">
      <c r="A217" s="12" t="inlineStr">
        <is>
          <t>Báo cáo</t>
        </is>
      </c>
      <c r="B217" s="12" t="n"/>
      <c r="C217" s="12" t="n"/>
      <c r="D217" s="12" t="n"/>
      <c r="E217" s="12" t="n"/>
      <c r="F217" s="12" t="n"/>
      <c r="G217" s="12">
        <f>COUNTIF(G218:G245,"Đạt")&amp;"/28 đạt"</f>
        <v/>
      </c>
      <c r="H217" s="12" t="n"/>
    </row>
    <row r="218">
      <c r="A218" s="13">
        <f>IF(G218="Đạt","☑",IF(G218="Lỗi","✗",IF(G218="Bỏ qua","–","☐")))</f>
        <v/>
      </c>
      <c r="B218" s="13" t="n">
        <v>203</v>
      </c>
      <c r="C218" s="13" t="inlineStr">
        <is>
          <t>Web</t>
        </is>
      </c>
      <c r="D218" s="14" t="inlineStr">
        <is>
          <t>Tất cả báo cáo</t>
        </is>
      </c>
      <c r="E218" s="14" t="inlineStr">
        <is>
          <t>Danh sách báo cáo gói Standard</t>
        </is>
      </c>
      <c r="F218" s="13" t="inlineStr">
        <is>
          <t>W-BC-001</t>
        </is>
      </c>
      <c r="G218" s="13">
        <f>IFERROR(INDEX(Web!$L:$L,MATCH(F218,Web!$A:$A,0)),"")</f>
        <v/>
      </c>
      <c r="H218" s="13" t="inlineStr">
        <is>
          <t>Cao</t>
        </is>
      </c>
    </row>
    <row r="219">
      <c r="A219" s="13">
        <f>IF(G219="Đạt","☑",IF(G219="Lỗi","✗",IF(G219="Bỏ qua","–","☐")))</f>
        <v/>
      </c>
      <c r="B219" s="13" t="n">
        <v>204</v>
      </c>
      <c r="C219" s="13" t="inlineStr">
        <is>
          <t>Web</t>
        </is>
      </c>
      <c r="D219" s="14" t="inlineStr">
        <is>
          <t>Nhóm báo cáo Thu chi</t>
        </is>
      </c>
      <c r="E219" s="14" t="inlineStr">
        <is>
          <t>Nhóm Thu chi chỉ có báo cáo của gói</t>
        </is>
      </c>
      <c r="F219" s="13" t="inlineStr">
        <is>
          <t>W-BC-002</t>
        </is>
      </c>
      <c r="G219" s="13">
        <f>IFERROR(INDEX(Web!$L:$L,MATCH(F219,Web!$A:$A,0)),"")</f>
        <v/>
      </c>
      <c r="H219" s="13" t="inlineStr">
        <is>
          <t>Thấp</t>
        </is>
      </c>
    </row>
    <row r="220">
      <c r="A220" s="13">
        <f>IF(G220="Đạt","☑",IF(G220="Lỗi","✗",IF(G220="Bỏ qua","–","☐")))</f>
        <v/>
      </c>
      <c r="B220" s="13" t="n">
        <v>205</v>
      </c>
      <c r="C220" s="13" t="inlineStr">
        <is>
          <t>Web</t>
        </is>
      </c>
      <c r="D220" s="14" t="inlineStr">
        <is>
          <t>Nhóm báo cáo Bán hàng</t>
        </is>
      </c>
      <c r="E220" s="14" t="inlineStr">
        <is>
          <t>Nhóm Bán hàng chỉ có báo cáo của gói</t>
        </is>
      </c>
      <c r="F220" s="13" t="inlineStr">
        <is>
          <t>W-BC-003</t>
        </is>
      </c>
      <c r="G220" s="13">
        <f>IFERROR(INDEX(Web!$L:$L,MATCH(F220,Web!$A:$A,0)),"")</f>
        <v/>
      </c>
      <c r="H220" s="13" t="inlineStr">
        <is>
          <t>Thấp</t>
        </is>
      </c>
    </row>
    <row r="221">
      <c r="A221" s="13">
        <f>IF(G221="Đạt","☑",IF(G221="Lỗi","✗",IF(G221="Bỏ qua","–","☐")))</f>
        <v/>
      </c>
      <c r="B221" s="13" t="n">
        <v>206</v>
      </c>
      <c r="C221" s="13" t="inlineStr">
        <is>
          <t>Web</t>
        </is>
      </c>
      <c r="D221" s="14" t="inlineStr">
        <is>
          <t>Nhóm báo cáo Mua hàng</t>
        </is>
      </c>
      <c r="E221" s="14" t="inlineStr">
        <is>
          <t>Nhóm Mua hàng chỉ có báo cáo của gói</t>
        </is>
      </c>
      <c r="F221" s="13" t="inlineStr">
        <is>
          <t>W-BC-004</t>
        </is>
      </c>
      <c r="G221" s="13">
        <f>IFERROR(INDEX(Web!$L:$L,MATCH(F221,Web!$A:$A,0)),"")</f>
        <v/>
      </c>
      <c r="H221" s="13" t="inlineStr">
        <is>
          <t>Thấp</t>
        </is>
      </c>
    </row>
    <row r="222">
      <c r="A222" s="13">
        <f>IF(G222="Đạt","☑",IF(G222="Lỗi","✗",IF(G222="Bỏ qua","–","☐")))</f>
        <v/>
      </c>
      <c r="B222" s="13" t="n">
        <v>207</v>
      </c>
      <c r="C222" s="13" t="inlineStr">
        <is>
          <t>Web</t>
        </is>
      </c>
      <c r="D222" s="14" t="inlineStr">
        <is>
          <t>Nhóm báo cáo Kho</t>
        </is>
      </c>
      <c r="E222" s="14" t="inlineStr">
        <is>
          <t>Nhóm Kho chỉ có báo cáo của gói</t>
        </is>
      </c>
      <c r="F222" s="13" t="inlineStr">
        <is>
          <t>W-BC-005</t>
        </is>
      </c>
      <c r="G222" s="13">
        <f>IFERROR(INDEX(Web!$L:$L,MATCH(F222,Web!$A:$A,0)),"")</f>
        <v/>
      </c>
      <c r="H222" s="13" t="inlineStr">
        <is>
          <t>Thấp</t>
        </is>
      </c>
    </row>
    <row r="223">
      <c r="A223" s="13">
        <f>IF(G223="Đạt","☑",IF(G223="Lỗi","✗",IF(G223="Bỏ qua","–","☐")))</f>
        <v/>
      </c>
      <c r="B223" s="13" t="n">
        <v>208</v>
      </c>
      <c r="C223" s="13" t="inlineStr">
        <is>
          <t>Web</t>
        </is>
      </c>
      <c r="D223" s="14" t="inlineStr">
        <is>
          <t>Nhóm báo cáo Chi phí phân bổ</t>
        </is>
      </c>
      <c r="E223" s="14" t="inlineStr">
        <is>
          <t>Nhóm Chi phí phân bổ chỉ có báo cáo của gói</t>
        </is>
      </c>
      <c r="F223" s="13" t="inlineStr">
        <is>
          <t>W-BC-006</t>
        </is>
      </c>
      <c r="G223" s="13">
        <f>IFERROR(INDEX(Web!$L:$L,MATCH(F223,Web!$A:$A,0)),"")</f>
        <v/>
      </c>
      <c r="H223" s="13" t="inlineStr">
        <is>
          <t>Thấp</t>
        </is>
      </c>
    </row>
    <row r="224">
      <c r="A224" s="13">
        <f>IF(G224="Đạt","☑",IF(G224="Lỗi","✗",IF(G224="Bỏ qua","–","☐")))</f>
        <v/>
      </c>
      <c r="B224" s="13" t="n">
        <v>209</v>
      </c>
      <c r="C224" s="13" t="inlineStr">
        <is>
          <t>Web</t>
        </is>
      </c>
      <c r="D224" s="14" t="inlineStr">
        <is>
          <t>Nhóm báo cáo Tổng hợp</t>
        </is>
      </c>
      <c r="E224" s="14" t="inlineStr">
        <is>
          <t>Nhóm Tổng hợp chỉ có báo cáo của gói</t>
        </is>
      </c>
      <c r="F224" s="13" t="inlineStr">
        <is>
          <t>W-BC-007</t>
        </is>
      </c>
      <c r="G224" s="13">
        <f>IFERROR(INDEX(Web!$L:$L,MATCH(F224,Web!$A:$A,0)),"")</f>
        <v/>
      </c>
      <c r="H224" s="13" t="inlineStr">
        <is>
          <t>Thấp</t>
        </is>
      </c>
    </row>
    <row r="225">
      <c r="A225" s="13">
        <f>IF(G225="Đạt","☑",IF(G225="Lỗi","✗",IF(G225="Bỏ qua","–","☐")))</f>
        <v/>
      </c>
      <c r="B225" s="13" t="n">
        <v>210</v>
      </c>
      <c r="C225" s="13" t="inlineStr">
        <is>
          <t>Web</t>
        </is>
      </c>
      <c r="D225" s="14" t="inlineStr">
        <is>
          <t>Nhóm báo cáo Công nợ</t>
        </is>
      </c>
      <c r="E225" s="14" t="inlineStr">
        <is>
          <t>Nhóm Công nợ chỉ có báo cáo của gói</t>
        </is>
      </c>
      <c r="F225" s="13" t="inlineStr">
        <is>
          <t>W-BC-008</t>
        </is>
      </c>
      <c r="G225" s="13">
        <f>IFERROR(INDEX(Web!$L:$L,MATCH(F225,Web!$A:$A,0)),"")</f>
        <v/>
      </c>
      <c r="H225" s="13" t="inlineStr">
        <is>
          <t>Thấp</t>
        </is>
      </c>
    </row>
    <row r="226">
      <c r="A226" s="13">
        <f>IF(G226="Đạt","☑",IF(G226="Lỗi","✗",IF(G226="Bỏ qua","–","☐")))</f>
        <v/>
      </c>
      <c r="B226" s="13" t="n">
        <v>211</v>
      </c>
      <c r="C226" s="13" t="inlineStr">
        <is>
          <t>Web</t>
        </is>
      </c>
      <c r="D226" s="14" t="inlineStr">
        <is>
          <t>Báo cáo (chung)</t>
        </is>
      </c>
      <c r="E226" s="14" t="inlineStr">
        <is>
          <t>Bộ lọc, in, xuất, tuỳ chỉnh</t>
        </is>
      </c>
      <c r="F226" s="13" t="inlineStr">
        <is>
          <t>W-BC-009</t>
        </is>
      </c>
      <c r="G226" s="13">
        <f>IFERROR(INDEX(Web!$L:$L,MATCH(F226,Web!$A:$A,0)),"")</f>
        <v/>
      </c>
      <c r="H226" s="13" t="inlineStr">
        <is>
          <t>Cao</t>
        </is>
      </c>
    </row>
    <row r="227">
      <c r="A227" s="13">
        <f>IF(G227="Đạt","☑",IF(G227="Lỗi","✗",IF(G227="Bỏ qua","–","☐")))</f>
        <v/>
      </c>
      <c r="B227" s="13" t="n">
        <v>212</v>
      </c>
      <c r="C227" s="13" t="inlineStr">
        <is>
          <t>Web</t>
        </is>
      </c>
      <c r="D227" s="14" t="inlineStr">
        <is>
          <t>Báo cáo (chung)</t>
        </is>
      </c>
      <c r="E227" s="14" t="inlineStr">
        <is>
          <t>Báo cáo không hợp thiết lập</t>
        </is>
      </c>
      <c r="F227" s="13" t="inlineStr">
        <is>
          <t>W-BC-010</t>
        </is>
      </c>
      <c r="G227" s="13">
        <f>IFERROR(INDEX(Web!$L:$L,MATCH(F227,Web!$A:$A,0)),"")</f>
        <v/>
      </c>
      <c r="H227" s="13" t="inlineStr">
        <is>
          <t>Trung bình</t>
        </is>
      </c>
    </row>
    <row r="228">
      <c r="A228" s="13">
        <f>IF(G228="Đạt","☑",IF(G228="Lỗi","✗",IF(G228="Bỏ qua","–","☐")))</f>
        <v/>
      </c>
      <c r="B228" s="13" t="n">
        <v>213</v>
      </c>
      <c r="C228" s="13" t="inlineStr">
        <is>
          <t>Web</t>
        </is>
      </c>
      <c r="D228" s="14" t="inlineStr">
        <is>
          <t>KQKD 10.2.3</t>
        </is>
      </c>
      <c r="E228" s="14" t="inlineStr">
        <is>
          <t>Bản lãi lỗ đơn giản khớp trang chủ</t>
        </is>
      </c>
      <c r="F228" s="13" t="inlineStr">
        <is>
          <t>W-BC-011</t>
        </is>
      </c>
      <c r="G228" s="13">
        <f>IFERROR(INDEX(Web!$L:$L,MATCH(F228,Web!$A:$A,0)),"")</f>
        <v/>
      </c>
      <c r="H228" s="13" t="inlineStr">
        <is>
          <t>Cao</t>
        </is>
      </c>
    </row>
    <row r="229">
      <c r="A229" s="13">
        <f>IF(G229="Đạt","☑",IF(G229="Lỗi","✗",IF(G229="Bỏ qua","–","☐")))</f>
        <v/>
      </c>
      <c r="B229" s="13" t="n">
        <v>214</v>
      </c>
      <c r="C229" s="13" t="inlineStr">
        <is>
          <t>App</t>
        </is>
      </c>
      <c r="D229" s="14" t="inlineStr">
        <is>
          <t>Tab Báo cáo</t>
        </is>
      </c>
      <c r="E229" s="14" t="inlineStr">
        <is>
          <t>Danh sách báo cáo gói Standard</t>
        </is>
      </c>
      <c r="F229" s="13" t="inlineStr">
        <is>
          <t>A-BC-001</t>
        </is>
      </c>
      <c r="G229" s="13">
        <f>IFERROR(INDEX(App!$L:$L,MATCH(F229,App!$A:$A,0)),"")</f>
        <v/>
      </c>
      <c r="H229" s="13" t="inlineStr">
        <is>
          <t>Cao</t>
        </is>
      </c>
    </row>
    <row r="230">
      <c r="A230" s="13">
        <f>IF(G230="Đạt","☑",IF(G230="Lỗi","✗",IF(G230="Bỏ qua","–","☐")))</f>
        <v/>
      </c>
      <c r="B230" s="13" t="n">
        <v>215</v>
      </c>
      <c r="C230" s="13" t="inlineStr">
        <is>
          <t>App</t>
        </is>
      </c>
      <c r="D230" s="14" t="inlineStr">
        <is>
          <t>Tab Báo cáo</t>
        </is>
      </c>
      <c r="E230" s="14" t="inlineStr">
        <is>
          <t>Tìm, Gần đây, Ghim</t>
        </is>
      </c>
      <c r="F230" s="13" t="inlineStr">
        <is>
          <t>A-BC-002</t>
        </is>
      </c>
      <c r="G230" s="13">
        <f>IFERROR(INDEX(App!$L:$L,MATCH(F230,App!$A:$A,0)),"")</f>
        <v/>
      </c>
      <c r="H230" s="13" t="inlineStr">
        <is>
          <t>Trung bình</t>
        </is>
      </c>
    </row>
    <row r="231">
      <c r="A231" s="13">
        <f>IF(G231="Đạt","☑",IF(G231="Lỗi","✗",IF(G231="Bỏ qua","–","☐")))</f>
        <v/>
      </c>
      <c r="B231" s="13" t="n">
        <v>216</v>
      </c>
      <c r="C231" s="13" t="inlineStr">
        <is>
          <t>App</t>
        </is>
      </c>
      <c r="D231" s="14" t="inlineStr">
        <is>
          <t>Bộ lọc báo cáo</t>
        </is>
      </c>
      <c r="E231" s="14" t="inlineStr">
        <is>
          <t>Bộ lọc bật trước khi xem</t>
        </is>
      </c>
      <c r="F231" s="13" t="inlineStr">
        <is>
          <t>A-BC-003</t>
        </is>
      </c>
      <c r="G231" s="13">
        <f>IFERROR(INDEX(App!$L:$L,MATCH(F231,App!$A:$A,0)),"")</f>
        <v/>
      </c>
      <c r="H231" s="13" t="inlineStr">
        <is>
          <t>Cao</t>
        </is>
      </c>
    </row>
    <row r="232">
      <c r="A232" s="13">
        <f>IF(G232="Đạt","☑",IF(G232="Lỗi","✗",IF(G232="Bỏ qua","–","☐")))</f>
        <v/>
      </c>
      <c r="B232" s="13" t="n">
        <v>217</v>
      </c>
      <c r="C232" s="13" t="inlineStr">
        <is>
          <t>App</t>
        </is>
      </c>
      <c r="D232" s="14" t="inlineStr">
        <is>
          <t>Bộ lọc báo cáo</t>
        </is>
      </c>
      <c r="E232" s="14" t="inlineStr">
        <is>
          <t>Giới hạn ngày</t>
        </is>
      </c>
      <c r="F232" s="13" t="inlineStr">
        <is>
          <t>A-BC-004</t>
        </is>
      </c>
      <c r="G232" s="13">
        <f>IFERROR(INDEX(App!$L:$L,MATCH(F232,App!$A:$A,0)),"")</f>
        <v/>
      </c>
      <c r="H232" s="13" t="inlineStr">
        <is>
          <t>Trung bình</t>
        </is>
      </c>
    </row>
    <row r="233">
      <c r="A233" s="13">
        <f>IF(G233="Đạt","☑",IF(G233="Lỗi","✗",IF(G233="Bỏ qua","–","☐")))</f>
        <v/>
      </c>
      <c r="B233" s="13" t="n">
        <v>218</v>
      </c>
      <c r="C233" s="13" t="inlineStr">
        <is>
          <t>App</t>
        </is>
      </c>
      <c r="D233" s="14" t="inlineStr">
        <is>
          <t>Đầu báo cáo</t>
        </is>
      </c>
      <c r="E233" s="14" t="inlineStr">
        <is>
          <t>Thanh đầu báo cáo</t>
        </is>
      </c>
      <c r="F233" s="13" t="inlineStr">
        <is>
          <t>A-BC-005</t>
        </is>
      </c>
      <c r="G233" s="13">
        <f>IFERROR(INDEX(App!$L:$L,MATCH(F233,App!$A:$A,0)),"")</f>
        <v/>
      </c>
      <c r="H233" s="13" t="inlineStr">
        <is>
          <t>Trung bình</t>
        </is>
      </c>
    </row>
    <row r="234">
      <c r="A234" s="13">
        <f>IF(G234="Đạt","☑",IF(G234="Lỗi","✗",IF(G234="Bỏ qua","–","☐")))</f>
        <v/>
      </c>
      <c r="B234" s="13" t="n">
        <v>219</v>
      </c>
      <c r="C234" s="13" t="inlineStr">
        <is>
          <t>App</t>
        </is>
      </c>
      <c r="D234" s="14" t="inlineStr">
        <is>
          <t>Sổ dạng bảng</t>
        </is>
      </c>
      <c r="E234" s="14" t="inlineStr">
        <is>
          <t>Tải Excel, xoay màn, mở chứng từ</t>
        </is>
      </c>
      <c r="F234" s="13" t="inlineStr">
        <is>
          <t>A-BC-006</t>
        </is>
      </c>
      <c r="G234" s="13">
        <f>IFERROR(INDEX(App!$L:$L,MATCH(F234,App!$A:$A,0)),"")</f>
        <v/>
      </c>
      <c r="H234" s="13" t="inlineStr">
        <is>
          <t>Cao</t>
        </is>
      </c>
    </row>
    <row r="235">
      <c r="A235" s="13">
        <f>IF(G235="Đạt","☑",IF(G235="Lỗi","✗",IF(G235="Bỏ qua","–","☐")))</f>
        <v/>
      </c>
      <c r="B235" s="13" t="n">
        <v>220</v>
      </c>
      <c r="C235" s="13" t="inlineStr">
        <is>
          <t>App</t>
        </is>
      </c>
      <c r="D235" s="14" t="inlineStr">
        <is>
          <t>Sổ quỹ tiền mặt 2.2.1</t>
        </is>
      </c>
      <c r="E235" s="14" t="inlineStr">
        <is>
          <t>Sổ quỹ khớp web</t>
        </is>
      </c>
      <c r="F235" s="13" t="inlineStr">
        <is>
          <t>A-BC-007</t>
        </is>
      </c>
      <c r="G235" s="13">
        <f>IFERROR(INDEX(App!$L:$L,MATCH(F235,App!$A:$A,0)),"")</f>
        <v/>
      </c>
      <c r="H235" s="13" t="inlineStr">
        <is>
          <t>Cao</t>
        </is>
      </c>
    </row>
    <row r="236">
      <c r="A236" s="13">
        <f>IF(G236="Đạt","☑",IF(G236="Lỗi","✗",IF(G236="Bỏ qua","–","☐")))</f>
        <v/>
      </c>
      <c r="B236" s="13" t="n">
        <v>221</v>
      </c>
      <c r="C236" s="13" t="inlineStr">
        <is>
          <t>App</t>
        </is>
      </c>
      <c r="D236" s="14" t="inlineStr">
        <is>
          <t>Sổ ngân hàng 2.2.3</t>
        </is>
      </c>
      <c r="E236" s="14" t="inlineStr">
        <is>
          <t>Sổ ngân hàng khớp web</t>
        </is>
      </c>
      <c r="F236" s="13" t="inlineStr">
        <is>
          <t>A-BC-008</t>
        </is>
      </c>
      <c r="G236" s="13">
        <f>IFERROR(INDEX(App!$L:$L,MATCH(F236,App!$A:$A,0)),"")</f>
        <v/>
      </c>
      <c r="H236" s="13" t="inlineStr">
        <is>
          <t>Trung bình</t>
        </is>
      </c>
    </row>
    <row r="237">
      <c r="A237" s="13">
        <f>IF(G237="Đạt","☑",IF(G237="Lỗi","✗",IF(G237="Bỏ qua","–","☐")))</f>
        <v/>
      </c>
      <c r="B237" s="13" t="n">
        <v>222</v>
      </c>
      <c r="C237" s="13" t="inlineStr">
        <is>
          <t>App</t>
        </is>
      </c>
      <c r="D237" s="14" t="inlineStr">
        <is>
          <t>Tổng hợp bán hàng</t>
        </is>
      </c>
      <c r="E237" s="14" t="inlineStr">
        <is>
          <t>Tổng hợp bán hàng khớp web</t>
        </is>
      </c>
      <c r="F237" s="13" t="inlineStr">
        <is>
          <t>A-BC-009</t>
        </is>
      </c>
      <c r="G237" s="13">
        <f>IFERROR(INDEX(App!$L:$L,MATCH(F237,App!$A:$A,0)),"")</f>
        <v/>
      </c>
      <c r="H237" s="13" t="inlineStr">
        <is>
          <t>Trung bình</t>
        </is>
      </c>
    </row>
    <row r="238">
      <c r="A238" s="13">
        <f>IF(G238="Đạt","☑",IF(G238="Lỗi","✗",IF(G238="Bỏ qua","–","☐")))</f>
        <v/>
      </c>
      <c r="B238" s="13" t="n">
        <v>223</v>
      </c>
      <c r="C238" s="13" t="inlineStr">
        <is>
          <t>App</t>
        </is>
      </c>
      <c r="D238" s="14" t="inlineStr">
        <is>
          <t>Bảng kê chi tiết bán hàng</t>
        </is>
      </c>
      <c r="E238" s="14" t="inlineStr">
        <is>
          <t>Bảng kê bán hàng khớp web</t>
        </is>
      </c>
      <c r="F238" s="13" t="inlineStr">
        <is>
          <t>A-BC-010</t>
        </is>
      </c>
      <c r="G238" s="13">
        <f>IFERROR(INDEX(App!$L:$L,MATCH(F238,App!$A:$A,0)),"")</f>
        <v/>
      </c>
      <c r="H238" s="13" t="inlineStr">
        <is>
          <t>Thấp</t>
        </is>
      </c>
    </row>
    <row r="239">
      <c r="A239" s="13">
        <f>IF(G239="Đạt","☑",IF(G239="Lỗi","✗",IF(G239="Bỏ qua","–","☐")))</f>
        <v/>
      </c>
      <c r="B239" s="13" t="n">
        <v>224</v>
      </c>
      <c r="C239" s="13" t="inlineStr">
        <is>
          <t>App</t>
        </is>
      </c>
      <c r="D239" s="14" t="inlineStr">
        <is>
          <t>Sổ doanh thu 3.2.5</t>
        </is>
      </c>
      <c r="E239" s="14" t="inlineStr">
        <is>
          <t>Mẫu sổ theo chế độ</t>
        </is>
      </c>
      <c r="F239" s="13" t="inlineStr">
        <is>
          <t>A-BC-011</t>
        </is>
      </c>
      <c r="G239" s="13">
        <f>IFERROR(INDEX(App!$L:$L,MATCH(F239,App!$A:$A,0)),"")</f>
        <v/>
      </c>
      <c r="H239" s="13" t="inlineStr">
        <is>
          <t>Cao</t>
        </is>
      </c>
    </row>
    <row r="240">
      <c r="A240" s="13">
        <f>IF(G240="Đạt","☑",IF(G240="Lỗi","✗",IF(G240="Bỏ qua","–","☐")))</f>
        <v/>
      </c>
      <c r="B240" s="13" t="n">
        <v>225</v>
      </c>
      <c r="C240" s="13" t="inlineStr">
        <is>
          <t>App</t>
        </is>
      </c>
      <c r="D240" s="14" t="inlineStr">
        <is>
          <t>Bảng kê mua hàng 4.2.7</t>
        </is>
      </c>
      <c r="E240" s="14" t="inlineStr">
        <is>
          <t>Bảng kê mua hàng</t>
        </is>
      </c>
      <c r="F240" s="13" t="inlineStr">
        <is>
          <t>A-BC-012</t>
        </is>
      </c>
      <c r="G240" s="13">
        <f>IFERROR(INDEX(App!$L:$L,MATCH(F240,App!$A:$A,0)),"")</f>
        <v/>
      </c>
      <c r="H240" s="13" t="inlineStr">
        <is>
          <t>Trung bình</t>
        </is>
      </c>
    </row>
    <row r="241">
      <c r="A241" s="13">
        <f>IF(G241="Đạt","☑",IF(G241="Lỗi","✗",IF(G241="Bỏ qua","–","☐")))</f>
        <v/>
      </c>
      <c r="B241" s="13" t="n">
        <v>226</v>
      </c>
      <c r="C241" s="13" t="inlineStr">
        <is>
          <t>App</t>
        </is>
      </c>
      <c r="D241" s="14" t="inlineStr">
        <is>
          <t>Công nợ NCC 4.2.3</t>
        </is>
      </c>
      <c r="E241" s="14" t="inlineStr">
        <is>
          <t>Công nợ NCC</t>
        </is>
      </c>
      <c r="F241" s="13" t="inlineStr">
        <is>
          <t>A-BC-013</t>
        </is>
      </c>
      <c r="G241" s="13">
        <f>IFERROR(INDEX(App!$L:$L,MATCH(F241,App!$A:$A,0)),"")</f>
        <v/>
      </c>
      <c r="H241" s="13" t="inlineStr">
        <is>
          <t>Cao</t>
        </is>
      </c>
    </row>
    <row r="242">
      <c r="A242" s="13">
        <f>IF(G242="Đạt","☑",IF(G242="Lỗi","✗",IF(G242="Bỏ qua","–","☐")))</f>
        <v/>
      </c>
      <c r="B242" s="13" t="n">
        <v>227</v>
      </c>
      <c r="C242" s="13" t="inlineStr">
        <is>
          <t>App</t>
        </is>
      </c>
      <c r="D242" s="14" t="inlineStr">
        <is>
          <t>Xuất nhập tồn 5.2.3</t>
        </is>
      </c>
      <c r="E242" s="14" t="inlineStr">
        <is>
          <t>Xuất nhập tồn</t>
        </is>
      </c>
      <c r="F242" s="13" t="inlineStr">
        <is>
          <t>A-BC-014</t>
        </is>
      </c>
      <c r="G242" s="13">
        <f>IFERROR(INDEX(App!$L:$L,MATCH(F242,App!$A:$A,0)),"")</f>
        <v/>
      </c>
      <c r="H242" s="13" t="inlineStr">
        <is>
          <t>Cao</t>
        </is>
      </c>
    </row>
    <row r="243">
      <c r="A243" s="13">
        <f>IF(G243="Đạt","☑",IF(G243="Lỗi","✗",IF(G243="Bỏ qua","–","☐")))</f>
        <v/>
      </c>
      <c r="B243" s="13" t="n">
        <v>228</v>
      </c>
      <c r="C243" s="13" t="inlineStr">
        <is>
          <t>App</t>
        </is>
      </c>
      <c r="D243" s="14" t="inlineStr">
        <is>
          <t>Tổng hợp, chi tiết nhập kho</t>
        </is>
      </c>
      <c r="E243" s="14" t="inlineStr">
        <is>
          <t>5.2.9, 5.2.10</t>
        </is>
      </c>
      <c r="F243" s="13" t="inlineStr">
        <is>
          <t>A-BC-015</t>
        </is>
      </c>
      <c r="G243" s="13">
        <f>IFERROR(INDEX(App!$L:$L,MATCH(F243,App!$A:$A,0)),"")</f>
        <v/>
      </c>
      <c r="H243" s="13" t="inlineStr">
        <is>
          <t>Thấp</t>
        </is>
      </c>
    </row>
    <row r="244">
      <c r="A244" s="13">
        <f>IF(G244="Đạt","☑",IF(G244="Lỗi","✗",IF(G244="Bỏ qua","–","☐")))</f>
        <v/>
      </c>
      <c r="B244" s="13" t="n">
        <v>229</v>
      </c>
      <c r="C244" s="13" t="inlineStr">
        <is>
          <t>App</t>
        </is>
      </c>
      <c r="D244" s="14" t="inlineStr">
        <is>
          <t>Báo cáo kiểm kê 5.2.15</t>
        </is>
      </c>
      <c r="E244" s="14" t="inlineStr">
        <is>
          <t>Báo cáo kiểm kê</t>
        </is>
      </c>
      <c r="F244" s="13" t="inlineStr">
        <is>
          <t>A-BC-016</t>
        </is>
      </c>
      <c r="G244" s="13">
        <f>IFERROR(INDEX(App!$L:$L,MATCH(F244,App!$A:$A,0)),"")</f>
        <v/>
      </c>
      <c r="H244" s="13" t="inlineStr">
        <is>
          <t>Trung bình</t>
        </is>
      </c>
    </row>
    <row r="245">
      <c r="A245" s="13">
        <f>IF(G245="Đạt","☑",IF(G245="Lỗi","✗",IF(G245="Bỏ qua","–","☐")))</f>
        <v/>
      </c>
      <c r="B245" s="13" t="n">
        <v>230</v>
      </c>
      <c r="C245" s="13" t="inlineStr">
        <is>
          <t>App</t>
        </is>
      </c>
      <c r="D245" s="14" t="inlineStr">
        <is>
          <t>KQKD 10.2.3</t>
        </is>
      </c>
      <c r="E245" s="14" t="inlineStr">
        <is>
          <t>KQKD đơn giản</t>
        </is>
      </c>
      <c r="F245" s="13" t="inlineStr">
        <is>
          <t>A-BC-017</t>
        </is>
      </c>
      <c r="G245" s="13">
        <f>IFERROR(INDEX(App!$L:$L,MATCH(F245,App!$A:$A,0)),"")</f>
        <v/>
      </c>
      <c r="H245" s="13" t="inlineStr">
        <is>
          <t>Cao</t>
        </is>
      </c>
    </row>
    <row r="246">
      <c r="A246" s="12" t="inlineStr">
        <is>
          <t>Hệ thống</t>
        </is>
      </c>
      <c r="B246" s="12" t="n"/>
      <c r="C246" s="12" t="n"/>
      <c r="D246" s="12" t="n"/>
      <c r="E246" s="12" t="n"/>
      <c r="F246" s="12" t="n"/>
      <c r="G246" s="12">
        <f>COUNTIF(G247:G258,"Đạt")&amp;"/12 đạt"</f>
        <v/>
      </c>
      <c r="H246" s="12" t="n"/>
    </row>
    <row r="247">
      <c r="A247" s="13">
        <f>IF(G247="Đạt","☑",IF(G247="Lỗi","✗",IF(G247="Bỏ qua","–","☐")))</f>
        <v/>
      </c>
      <c r="B247" s="13" t="n">
        <v>231</v>
      </c>
      <c r="C247" s="13" t="inlineStr">
        <is>
          <t>Web</t>
        </is>
      </c>
      <c r="D247" s="14" t="inlineStr">
        <is>
          <t>Hệ thống (chung)</t>
        </is>
      </c>
      <c r="E247" s="14" t="inlineStr">
        <is>
          <t>Màn có ở gói Standard</t>
        </is>
      </c>
      <c r="F247" s="13" t="inlineStr">
        <is>
          <t>W-HT-001</t>
        </is>
      </c>
      <c r="G247" s="13">
        <f>IFERROR(INDEX(Web!$L:$L,MATCH(F247,Web!$A:$A,0)),"")</f>
        <v/>
      </c>
      <c r="H247" s="13" t="inlineStr">
        <is>
          <t>Trung bình</t>
        </is>
      </c>
    </row>
    <row r="248">
      <c r="A248" s="13">
        <f>IF(G248="Đạt","☑",IF(G248="Lỗi","✗",IF(G248="Bỏ qua","–","☐")))</f>
        <v/>
      </c>
      <c r="B248" s="13" t="n">
        <v>232</v>
      </c>
      <c r="C248" s="13" t="inlineStr">
        <is>
          <t>Web</t>
        </is>
      </c>
      <c r="D248" s="14" t="inlineStr">
        <is>
          <t>Thông tin đơn vị</t>
        </is>
      </c>
      <c r="E248" s="14" t="inlineStr">
        <is>
          <t>Tên bắt buộc, MST khoá</t>
        </is>
      </c>
      <c r="F248" s="13" t="inlineStr">
        <is>
          <t>W-HT-002</t>
        </is>
      </c>
      <c r="G248" s="13">
        <f>IFERROR(INDEX(Web!$L:$L,MATCH(F248,Web!$A:$A,0)),"")</f>
        <v/>
      </c>
      <c r="H248" s="13" t="inlineStr">
        <is>
          <t>Cao</t>
        </is>
      </c>
    </row>
    <row r="249">
      <c r="A249" s="13">
        <f>IF(G249="Đạt","☑",IF(G249="Lỗi","✗",IF(G249="Bỏ qua","–","☐")))</f>
        <v/>
      </c>
      <c r="B249" s="13" t="n">
        <v>233</v>
      </c>
      <c r="C249" s="13" t="inlineStr">
        <is>
          <t>Web</t>
        </is>
      </c>
      <c r="D249" s="14" t="inlineStr">
        <is>
          <t>Thông tin đơn vị</t>
        </is>
      </c>
      <c r="E249" s="14" t="inlineStr">
        <is>
          <t>Thiết lập hộ kinh doanh</t>
        </is>
      </c>
      <c r="F249" s="13" t="inlineStr">
        <is>
          <t>W-HT-003</t>
        </is>
      </c>
      <c r="G249" s="13">
        <f>IFERROR(INDEX(Web!$L:$L,MATCH(F249,Web!$A:$A,0)),"")</f>
        <v/>
      </c>
      <c r="H249" s="13" t="inlineStr">
        <is>
          <t>Cao</t>
        </is>
      </c>
    </row>
    <row r="250">
      <c r="A250" s="13">
        <f>IF(G250="Đạt","☑",IF(G250="Lỗi","✗",IF(G250="Bỏ qua","–","☐")))</f>
        <v/>
      </c>
      <c r="B250" s="13" t="n">
        <v>234</v>
      </c>
      <c r="C250" s="13" t="inlineStr">
        <is>
          <t>Web</t>
        </is>
      </c>
      <c r="D250" s="14" t="inlineStr">
        <is>
          <t>Thông tin đơn vị</t>
        </is>
      </c>
      <c r="E250" s="14" t="inlineStr">
        <is>
          <t>Doanh nghiệp, đổi loại hình</t>
        </is>
      </c>
      <c r="F250" s="13" t="inlineStr">
        <is>
          <t>W-HT-004</t>
        </is>
      </c>
      <c r="G250" s="13">
        <f>IFERROR(INDEX(Web!$L:$L,MATCH(F250,Web!$A:$A,0)),"")</f>
        <v/>
      </c>
      <c r="H250" s="13" t="inlineStr">
        <is>
          <t>Cao</t>
        </is>
      </c>
    </row>
    <row r="251">
      <c r="A251" s="13">
        <f>IF(G251="Đạt","☑",IF(G251="Lỗi","✗",IF(G251="Bỏ qua","–","☐")))</f>
        <v/>
      </c>
      <c r="B251" s="13" t="n">
        <v>235</v>
      </c>
      <c r="C251" s="13" t="inlineStr">
        <is>
          <t>Web</t>
        </is>
      </c>
      <c r="D251" s="14" t="inlineStr">
        <is>
          <t>Cấu hình kế toán</t>
        </is>
      </c>
      <c r="E251" s="14" t="inlineStr">
        <is>
          <t>Mẫu số chứng từ, đồng bộ FABi</t>
        </is>
      </c>
      <c r="F251" s="13" t="inlineStr">
        <is>
          <t>W-HT-005</t>
        </is>
      </c>
      <c r="G251" s="13">
        <f>IFERROR(INDEX(Web!$L:$L,MATCH(F251,Web!$A:$A,0)),"")</f>
        <v/>
      </c>
      <c r="H251" s="13" t="inlineStr">
        <is>
          <t>Trung bình</t>
        </is>
      </c>
    </row>
    <row r="252">
      <c r="A252" s="13">
        <f>IF(G252="Đạt","☑",IF(G252="Lỗi","✗",IF(G252="Bỏ qua","–","☐")))</f>
        <v/>
      </c>
      <c r="B252" s="13" t="n">
        <v>236</v>
      </c>
      <c r="C252" s="13" t="inlineStr">
        <is>
          <t>Web</t>
        </is>
      </c>
      <c r="D252" s="14" t="inlineStr">
        <is>
          <t>Khoá sổ</t>
        </is>
      </c>
      <c r="E252" s="14" t="inlineStr">
        <is>
          <t>Bảng tháng của cửa hàng</t>
        </is>
      </c>
      <c r="F252" s="13" t="inlineStr">
        <is>
          <t>W-HT-006</t>
        </is>
      </c>
      <c r="G252" s="13">
        <f>IFERROR(INDEX(Web!$L:$L,MATCH(F252,Web!$A:$A,0)),"")</f>
        <v/>
      </c>
      <c r="H252" s="13" t="inlineStr">
        <is>
          <t>Trung bình</t>
        </is>
      </c>
    </row>
    <row r="253">
      <c r="A253" s="13">
        <f>IF(G253="Đạt","☑",IF(G253="Lỗi","✗",IF(G253="Bỏ qua","–","☐")))</f>
        <v/>
      </c>
      <c r="B253" s="13" t="n">
        <v>237</v>
      </c>
      <c r="C253" s="13" t="inlineStr">
        <is>
          <t>Web</t>
        </is>
      </c>
      <c r="D253" s="14" t="inlineStr">
        <is>
          <t>Khoá sổ</t>
        </is>
      </c>
      <c r="E253" s="14" t="inlineStr">
        <is>
          <t>Khoá tháng</t>
        </is>
      </c>
      <c r="F253" s="13" t="inlineStr">
        <is>
          <t>W-HT-007</t>
        </is>
      </c>
      <c r="G253" s="13">
        <f>IFERROR(INDEX(Web!$L:$L,MATCH(F253,Web!$A:$A,0)),"")</f>
        <v/>
      </c>
      <c r="H253" s="13" t="inlineStr">
        <is>
          <t>Cao</t>
        </is>
      </c>
    </row>
    <row r="254">
      <c r="A254" s="13">
        <f>IF(G254="Đạt","☑",IF(G254="Lỗi","✗",IF(G254="Bỏ qua","–","☐")))</f>
        <v/>
      </c>
      <c r="B254" s="13" t="n">
        <v>238</v>
      </c>
      <c r="C254" s="13" t="inlineStr">
        <is>
          <t>Web</t>
        </is>
      </c>
      <c r="D254" s="14" t="inlineStr">
        <is>
          <t>Khoá sổ</t>
        </is>
      </c>
      <c r="E254" s="14" t="inlineStr">
        <is>
          <t>Bước kiểm tra trước khi khoá</t>
        </is>
      </c>
      <c r="F254" s="13" t="inlineStr">
        <is>
          <t>W-HT-008</t>
        </is>
      </c>
      <c r="G254" s="13">
        <f>IFERROR(INDEX(Web!$L:$L,MATCH(F254,Web!$A:$A,0)),"")</f>
        <v/>
      </c>
      <c r="H254" s="13" t="inlineStr">
        <is>
          <t>Cao</t>
        </is>
      </c>
    </row>
    <row r="255">
      <c r="A255" s="13">
        <f>IF(G255="Đạt","☑",IF(G255="Lỗi","✗",IF(G255="Bỏ qua","–","☐")))</f>
        <v/>
      </c>
      <c r="B255" s="13" t="n">
        <v>239</v>
      </c>
      <c r="C255" s="13" t="inlineStr">
        <is>
          <t>Web</t>
        </is>
      </c>
      <c r="D255" s="14" t="inlineStr">
        <is>
          <t>Khoá sổ</t>
        </is>
      </c>
      <c r="E255" s="14" t="inlineStr">
        <is>
          <t>Mở khoá</t>
        </is>
      </c>
      <c r="F255" s="13" t="inlineStr">
        <is>
          <t>W-HT-009</t>
        </is>
      </c>
      <c r="G255" s="13">
        <f>IFERROR(INDEX(Web!$L:$L,MATCH(F255,Web!$A:$A,0)),"")</f>
        <v/>
      </c>
      <c r="H255" s="13" t="inlineStr">
        <is>
          <t>Cao</t>
        </is>
      </c>
    </row>
    <row r="256">
      <c r="A256" s="13">
        <f>IF(G256="Đạt","☑",IF(G256="Lỗi","✗",IF(G256="Bỏ qua","–","☐")))</f>
        <v/>
      </c>
      <c r="B256" s="13" t="n">
        <v>240</v>
      </c>
      <c r="C256" s="13" t="inlineStr">
        <is>
          <t>Web</t>
        </is>
      </c>
      <c r="D256" s="14" t="inlineStr">
        <is>
          <t>Khoá sổ</t>
        </is>
      </c>
      <c r="E256" s="14" t="inlineStr">
        <is>
          <t>Hàng loạt, lịch sử</t>
        </is>
      </c>
      <c r="F256" s="13" t="inlineStr">
        <is>
          <t>W-HT-010</t>
        </is>
      </c>
      <c r="G256" s="13">
        <f>IFERROR(INDEX(Web!$L:$L,MATCH(F256,Web!$A:$A,0)),"")</f>
        <v/>
      </c>
      <c r="H256" s="13" t="inlineStr">
        <is>
          <t>Trung bình</t>
        </is>
      </c>
    </row>
    <row r="257">
      <c r="A257" s="13">
        <f>IF(G257="Đạt","☑",IF(G257="Lỗi","✗",IF(G257="Bỏ qua","–","☐")))</f>
        <v/>
      </c>
      <c r="B257" s="13" t="n">
        <v>241</v>
      </c>
      <c r="C257" s="13" t="inlineStr">
        <is>
          <t>Web</t>
        </is>
      </c>
      <c r="D257" s="14" t="inlineStr">
        <is>
          <t>Khoá sổ</t>
        </is>
      </c>
      <c r="E257" s="14" t="inlineStr">
        <is>
          <t>Khoá theo từng cửa hàng</t>
        </is>
      </c>
      <c r="F257" s="13" t="inlineStr">
        <is>
          <t>W-HT-011</t>
        </is>
      </c>
      <c r="G257" s="13">
        <f>IFERROR(INDEX(Web!$L:$L,MATCH(F257,Web!$A:$A,0)),"")</f>
        <v/>
      </c>
      <c r="H257" s="13" t="inlineStr">
        <is>
          <t>Cao</t>
        </is>
      </c>
    </row>
    <row r="258">
      <c r="A258" s="13">
        <f>IF(G258="Đạt","☑",IF(G258="Lỗi","✗",IF(G258="Bỏ qua","–","☐")))</f>
        <v/>
      </c>
      <c r="B258" s="13" t="n">
        <v>242</v>
      </c>
      <c r="C258" s="13" t="inlineStr">
        <is>
          <t>Web</t>
        </is>
      </c>
      <c r="D258" s="14" t="inlineStr">
        <is>
          <t>Gói thuê bao</t>
        </is>
      </c>
      <c r="E258" s="14" t="inlineStr">
        <is>
          <t>Thẻ gói, so sánh</t>
        </is>
      </c>
      <c r="F258" s="13" t="inlineStr">
        <is>
          <t>W-HT-012</t>
        </is>
      </c>
      <c r="G258" s="13">
        <f>IFERROR(INDEX(Web!$L:$L,MATCH(F258,Web!$A:$A,0)),"")</f>
        <v/>
      </c>
      <c r="H258" s="13" t="inlineStr">
        <is>
          <t>Trung bình</t>
        </is>
      </c>
    </row>
    <row r="259">
      <c r="A259" s="12" t="inlineStr">
        <is>
          <t>Doanh nghiệp TT58</t>
        </is>
      </c>
      <c r="B259" s="12" t="n"/>
      <c r="C259" s="12" t="n"/>
      <c r="D259" s="12" t="n"/>
      <c r="E259" s="12" t="n"/>
      <c r="F259" s="12" t="n"/>
      <c r="G259" s="12">
        <f>COUNTIF(G260:G262,"Đạt")&amp;"/3 đạt"</f>
        <v/>
      </c>
      <c r="H259" s="12" t="n"/>
    </row>
    <row r="260">
      <c r="A260" s="13">
        <f>IF(G260="Đạt","☑",IF(G260="Lỗi","✗",IF(G260="Bỏ qua","–","☐")))</f>
        <v/>
      </c>
      <c r="B260" s="13" t="n">
        <v>243</v>
      </c>
      <c r="C260" s="13" t="inlineStr">
        <is>
          <t>Web</t>
        </is>
      </c>
      <c r="D260" s="14" t="inlineStr">
        <is>
          <t>Toàn app</t>
        </is>
      </c>
      <c r="E260" s="14" t="inlineStr">
        <is>
          <t>Doanh nghiệp gói Standard không ghi sổ</t>
        </is>
      </c>
      <c r="F260" s="13" t="inlineStr">
        <is>
          <t>W-DN-001</t>
        </is>
      </c>
      <c r="G260" s="13">
        <f>IFERROR(INDEX(Web!$L:$L,MATCH(F260,Web!$A:$A,0)),"")</f>
        <v/>
      </c>
      <c r="H260" s="13" t="inlineStr">
        <is>
          <t>Cao</t>
        </is>
      </c>
    </row>
    <row r="261">
      <c r="A261" s="13">
        <f>IF(G261="Đạt","☑",IF(G261="Lỗi","✗",IF(G261="Bỏ qua","–","☐")))</f>
        <v/>
      </c>
      <c r="B261" s="13" t="n">
        <v>244</v>
      </c>
      <c r="C261" s="13" t="inlineStr">
        <is>
          <t>Web</t>
        </is>
      </c>
      <c r="D261" s="14" t="inlineStr">
        <is>
          <t>Báo cáo</t>
        </is>
      </c>
      <c r="E261" s="14" t="inlineStr">
        <is>
          <t>Sổ theo chế độ TT58</t>
        </is>
      </c>
      <c r="F261" s="13" t="inlineStr">
        <is>
          <t>W-DN-002</t>
        </is>
      </c>
      <c r="G261" s="13">
        <f>IFERROR(INDEX(Web!$L:$L,MATCH(F261,Web!$A:$A,0)),"")</f>
        <v/>
      </c>
      <c r="H261" s="13" t="inlineStr">
        <is>
          <t>Trung bình</t>
        </is>
      </c>
    </row>
    <row r="262">
      <c r="A262" s="13">
        <f>IF(G262="Đạt","☑",IF(G262="Lỗi","✗",IF(G262="Bỏ qua","–","☐")))</f>
        <v/>
      </c>
      <c r="B262" s="13" t="n">
        <v>245</v>
      </c>
      <c r="C262" s="13" t="inlineStr">
        <is>
          <t>App</t>
        </is>
      </c>
      <c r="D262" s="14" t="inlineStr">
        <is>
          <t>Toàn app</t>
        </is>
      </c>
      <c r="E262" s="14" t="inlineStr">
        <is>
          <t>Doanh nghiệp gói Standard trên app</t>
        </is>
      </c>
      <c r="F262" s="13" t="inlineStr">
        <is>
          <t>A-DN-001</t>
        </is>
      </c>
      <c r="G262" s="13">
        <f>IFERROR(INDEX(App!$L:$L,MATCH(F262,App!$A:$A,0)),"")</f>
        <v/>
      </c>
      <c r="H262" s="13" t="inlineStr">
        <is>
          <t>Cao</t>
        </is>
      </c>
    </row>
    <row r="263">
      <c r="A263" s="12" t="inlineStr">
        <is>
          <t>Tìm kiếm</t>
        </is>
      </c>
      <c r="B263" s="12" t="n"/>
      <c r="C263" s="12" t="n"/>
      <c r="D263" s="12" t="n"/>
      <c r="E263" s="12" t="n"/>
      <c r="F263" s="12" t="n"/>
      <c r="G263" s="12">
        <f>COUNTIF(G264:G265,"Đạt")&amp;"/2 đạt"</f>
        <v/>
      </c>
      <c r="H263" s="12" t="n"/>
    </row>
    <row r="264">
      <c r="A264" s="13">
        <f>IF(G264="Đạt","☑",IF(G264="Lỗi","✗",IF(G264="Bỏ qua","–","☐")))</f>
        <v/>
      </c>
      <c r="B264" s="13" t="n">
        <v>246</v>
      </c>
      <c r="C264" s="13" t="inlineStr">
        <is>
          <t>App</t>
        </is>
      </c>
      <c r="D264" s="14" t="inlineStr">
        <is>
          <t>Tìm kiếm</t>
        </is>
      </c>
      <c r="E264" s="14" t="inlineStr">
        <is>
          <t>Tìm màn, danh mục, báo cáo</t>
        </is>
      </c>
      <c r="F264" s="13" t="inlineStr">
        <is>
          <t>A-TK-001</t>
        </is>
      </c>
      <c r="G264" s="13">
        <f>IFERROR(INDEX(App!$L:$L,MATCH(F264,App!$A:$A,0)),"")</f>
        <v/>
      </c>
      <c r="H264" s="13" t="inlineStr">
        <is>
          <t>Trung bình</t>
        </is>
      </c>
    </row>
    <row r="265">
      <c r="A265" s="13">
        <f>IF(G265="Đạt","☑",IF(G265="Lỗi","✗",IF(G265="Bỏ qua","–","☐")))</f>
        <v/>
      </c>
      <c r="B265" s="13" t="n">
        <v>247</v>
      </c>
      <c r="C265" s="13" t="inlineStr">
        <is>
          <t>App</t>
        </is>
      </c>
      <c r="D265" s="14" t="inlineStr">
        <is>
          <t>Tìm kiếm</t>
        </is>
      </c>
      <c r="E265" s="14" t="inlineStr">
        <is>
          <t>Không ra màn ngoài gói</t>
        </is>
      </c>
      <c r="F265" s="13" t="inlineStr">
        <is>
          <t>A-TK-002</t>
        </is>
      </c>
      <c r="G265" s="13">
        <f>IFERROR(INDEX(App!$L:$L,MATCH(F265,App!$A:$A,0)),"")</f>
        <v/>
      </c>
      <c r="H265" s="13" t="inlineStr">
        <is>
          <t>Trung bình</t>
        </is>
      </c>
    </row>
    <row r="266">
      <c r="A266" s="12" t="inlineStr">
        <is>
          <t>Tab Khác</t>
        </is>
      </c>
      <c r="B266" s="12" t="n"/>
      <c r="C266" s="12" t="n"/>
      <c r="D266" s="12" t="n"/>
      <c r="E266" s="12" t="n"/>
      <c r="F266" s="12" t="n"/>
      <c r="G266" s="12">
        <f>COUNTIF(G267:G289,"Đạt")&amp;"/23 đạt"</f>
        <v/>
      </c>
      <c r="H266" s="12" t="n"/>
    </row>
    <row r="267">
      <c r="A267" s="13">
        <f>IF(G267="Đạt","☑",IF(G267="Lỗi","✗",IF(G267="Bỏ qua","–","☐")))</f>
        <v/>
      </c>
      <c r="B267" s="13" t="n">
        <v>248</v>
      </c>
      <c r="C267" s="13" t="inlineStr">
        <is>
          <t>App</t>
        </is>
      </c>
      <c r="D267" s="14" t="inlineStr">
        <is>
          <t>Tab Khác</t>
        </is>
      </c>
      <c r="E267" s="14" t="inlineStr">
        <is>
          <t>Bố cục tab Khác</t>
        </is>
      </c>
      <c r="F267" s="13" t="inlineStr">
        <is>
          <t>A-KH-001</t>
        </is>
      </c>
      <c r="G267" s="13">
        <f>IFERROR(INDEX(App!$L:$L,MATCH(F267,App!$A:$A,0)),"")</f>
        <v/>
      </c>
      <c r="H267" s="13" t="inlineStr">
        <is>
          <t>Cao</t>
        </is>
      </c>
    </row>
    <row r="268">
      <c r="A268" s="13">
        <f>IF(G268="Đạt","☑",IF(G268="Lỗi","✗",IF(G268="Bỏ qua","–","☐")))</f>
        <v/>
      </c>
      <c r="B268" s="13" t="n">
        <v>249</v>
      </c>
      <c r="C268" s="13" t="inlineStr">
        <is>
          <t>App</t>
        </is>
      </c>
      <c r="D268" s="14" t="inlineStr">
        <is>
          <t>Tab Khác</t>
        </is>
      </c>
      <c r="E268" s="14" t="inlineStr">
        <is>
          <t>Tìm trong tab Khác</t>
        </is>
      </c>
      <c r="F268" s="13" t="inlineStr">
        <is>
          <t>A-KH-002</t>
        </is>
      </c>
      <c r="G268" s="13">
        <f>IFERROR(INDEX(App!$L:$L,MATCH(F268,App!$A:$A,0)),"")</f>
        <v/>
      </c>
      <c r="H268" s="13" t="inlineStr">
        <is>
          <t>Trung bình</t>
        </is>
      </c>
    </row>
    <row r="269">
      <c r="A269" s="13">
        <f>IF(G269="Đạt","☑",IF(G269="Lỗi","✗",IF(G269="Bỏ qua","–","☐")))</f>
        <v/>
      </c>
      <c r="B269" s="13" t="n">
        <v>250</v>
      </c>
      <c r="C269" s="13" t="inlineStr">
        <is>
          <t>App</t>
        </is>
      </c>
      <c r="D269" s="14" t="inlineStr">
        <is>
          <t>Đơn vị kế toán</t>
        </is>
      </c>
      <c r="E269" s="14" t="inlineStr">
        <is>
          <t>Đổi đơn vị</t>
        </is>
      </c>
      <c r="F269" s="13" t="inlineStr">
        <is>
          <t>A-KH-003</t>
        </is>
      </c>
      <c r="G269" s="13">
        <f>IFERROR(INDEX(App!$L:$L,MATCH(F269,App!$A:$A,0)),"")</f>
        <v/>
      </c>
      <c r="H269" s="13" t="inlineStr">
        <is>
          <t>Trung bình</t>
        </is>
      </c>
    </row>
    <row r="270">
      <c r="A270" s="13">
        <f>IF(G270="Đạt","☑",IF(G270="Lỗi","✗",IF(G270="Bỏ qua","–","☐")))</f>
        <v/>
      </c>
      <c r="B270" s="13" t="n">
        <v>251</v>
      </c>
      <c r="C270" s="13" t="inlineStr">
        <is>
          <t>App</t>
        </is>
      </c>
      <c r="D270" s="14" t="inlineStr">
        <is>
          <t>Đăng xuất</t>
        </is>
      </c>
      <c r="E270" s="14" t="inlineStr">
        <is>
          <t>Đăng xuất</t>
        </is>
      </c>
      <c r="F270" s="13" t="inlineStr">
        <is>
          <t>A-KH-004</t>
        </is>
      </c>
      <c r="G270" s="13">
        <f>IFERROR(INDEX(App!$L:$L,MATCH(F270,App!$A:$A,0)),"")</f>
        <v/>
      </c>
      <c r="H270" s="13" t="inlineStr">
        <is>
          <t>Thấp</t>
        </is>
      </c>
    </row>
    <row r="271">
      <c r="A271" s="13">
        <f>IF(G271="Đạt","☑",IF(G271="Lỗi","✗",IF(G271="Bỏ qua","–","☐")))</f>
        <v/>
      </c>
      <c r="B271" s="13" t="n">
        <v>252</v>
      </c>
      <c r="C271" s="13" t="inlineStr">
        <is>
          <t>App</t>
        </is>
      </c>
      <c r="D271" s="14" t="inlineStr">
        <is>
          <t>Danh mục (chung)</t>
        </is>
      </c>
      <c r="E271" s="14" t="inlineStr">
        <is>
          <t>Danh mục có ở gói Standard</t>
        </is>
      </c>
      <c r="F271" s="13" t="inlineStr">
        <is>
          <t>A-KH-005</t>
        </is>
      </c>
      <c r="G271" s="13">
        <f>IFERROR(INDEX(App!$L:$L,MATCH(F271,App!$A:$A,0)),"")</f>
        <v/>
      </c>
      <c r="H271" s="13" t="inlineStr">
        <is>
          <t>Cao</t>
        </is>
      </c>
    </row>
    <row r="272">
      <c r="A272" s="13">
        <f>IF(G272="Đạt","☑",IF(G272="Lỗi","✗",IF(G272="Bỏ qua","–","☐")))</f>
        <v/>
      </c>
      <c r="B272" s="13" t="n">
        <v>253</v>
      </c>
      <c r="C272" s="13" t="inlineStr">
        <is>
          <t>App</t>
        </is>
      </c>
      <c r="D272" s="14" t="inlineStr">
        <is>
          <t>Danh mục (chung)</t>
        </is>
      </c>
      <c r="E272" s="14" t="inlineStr">
        <is>
          <t>Lọc trạng thái, tìm</t>
        </is>
      </c>
      <c r="F272" s="13" t="inlineStr">
        <is>
          <t>A-KH-006</t>
        </is>
      </c>
      <c r="G272" s="13">
        <f>IFERROR(INDEX(App!$L:$L,MATCH(F272,App!$A:$A,0)),"")</f>
        <v/>
      </c>
      <c r="H272" s="13" t="inlineStr">
        <is>
          <t>Trung bình</t>
        </is>
      </c>
    </row>
    <row r="273">
      <c r="A273" s="13">
        <f>IF(G273="Đạt","☑",IF(G273="Lỗi","✗",IF(G273="Bỏ qua","–","☐")))</f>
        <v/>
      </c>
      <c r="B273" s="13" t="n">
        <v>254</v>
      </c>
      <c r="C273" s="13" t="inlineStr">
        <is>
          <t>App</t>
        </is>
      </c>
      <c r="D273" s="14" t="inlineStr">
        <is>
          <t>Hàng hoá</t>
        </is>
      </c>
      <c r="E273" s="14" t="inlineStr">
        <is>
          <t>Thêm, sửa hàng hoá</t>
        </is>
      </c>
      <c r="F273" s="13" t="inlineStr">
        <is>
          <t>A-KH-007</t>
        </is>
      </c>
      <c r="G273" s="13">
        <f>IFERROR(INDEX(App!$L:$L,MATCH(F273,App!$A:$A,0)),"")</f>
        <v/>
      </c>
      <c r="H273" s="13" t="inlineStr">
        <is>
          <t>Cao</t>
        </is>
      </c>
    </row>
    <row r="274">
      <c r="A274" s="13">
        <f>IF(G274="Đạt","☑",IF(G274="Lỗi","✗",IF(G274="Bỏ qua","–","☐")))</f>
        <v/>
      </c>
      <c r="B274" s="13" t="n">
        <v>255</v>
      </c>
      <c r="C274" s="13" t="inlineStr">
        <is>
          <t>App</t>
        </is>
      </c>
      <c r="D274" s="14" t="inlineStr">
        <is>
          <t>Đối tượng</t>
        </is>
      </c>
      <c r="E274" s="14" t="inlineStr">
        <is>
          <t>Thêm khách hàng, NCC, nhân viên</t>
        </is>
      </c>
      <c r="F274" s="13" t="inlineStr">
        <is>
          <t>A-KH-008</t>
        </is>
      </c>
      <c r="G274" s="13">
        <f>IFERROR(INDEX(App!$L:$L,MATCH(F274,App!$A:$A,0)),"")</f>
        <v/>
      </c>
      <c r="H274" s="13" t="inlineStr">
        <is>
          <t>Trung bình</t>
        </is>
      </c>
    </row>
    <row r="275">
      <c r="A275" s="13">
        <f>IF(G275="Đạt","☑",IF(G275="Lỗi","✗",IF(G275="Bỏ qua","–","☐")))</f>
        <v/>
      </c>
      <c r="B275" s="13" t="n">
        <v>256</v>
      </c>
      <c r="C275" s="13" t="inlineStr">
        <is>
          <t>App</t>
        </is>
      </c>
      <c r="D275" s="14" t="inlineStr">
        <is>
          <t>Nhóm hàng hoá, nhóm đối tượng</t>
        </is>
      </c>
      <c r="E275" s="14" t="inlineStr">
        <is>
          <t>Thêm, sửa, xoá nhóm</t>
        </is>
      </c>
      <c r="F275" s="13" t="inlineStr">
        <is>
          <t>A-KH-009</t>
        </is>
      </c>
      <c r="G275" s="13">
        <f>IFERROR(INDEX(App!$L:$L,MATCH(F275,App!$A:$A,0)),"")</f>
        <v/>
      </c>
      <c r="H275" s="13" t="inlineStr">
        <is>
          <t>Thấp</t>
        </is>
      </c>
    </row>
    <row r="276">
      <c r="A276" s="13">
        <f>IF(G276="Đạt","☑",IF(G276="Lỗi","✗",IF(G276="Bỏ qua","–","☐")))</f>
        <v/>
      </c>
      <c r="B276" s="13" t="n">
        <v>257</v>
      </c>
      <c r="C276" s="13" t="inlineStr">
        <is>
          <t>App</t>
        </is>
      </c>
      <c r="D276" s="14" t="inlineStr">
        <is>
          <t>Kho</t>
        </is>
      </c>
      <c r="E276" s="14" t="inlineStr">
        <is>
          <t>Kho chỉ xem</t>
        </is>
      </c>
      <c r="F276" s="13" t="inlineStr">
        <is>
          <t>A-KH-010</t>
        </is>
      </c>
      <c r="G276" s="13">
        <f>IFERROR(INDEX(App!$L:$L,MATCH(F276,App!$A:$A,0)),"")</f>
        <v/>
      </c>
      <c r="H276" s="13" t="inlineStr">
        <is>
          <t>Trung bình</t>
        </is>
      </c>
    </row>
    <row r="277">
      <c r="A277" s="13">
        <f>IF(G277="Đạt","☑",IF(G277="Lỗi","✗",IF(G277="Bỏ qua","–","☐")))</f>
        <v/>
      </c>
      <c r="B277" s="13" t="n">
        <v>258</v>
      </c>
      <c r="C277" s="13" t="inlineStr">
        <is>
          <t>App</t>
        </is>
      </c>
      <c r="D277" s="14" t="inlineStr">
        <is>
          <t>Quỹ tiền</t>
        </is>
      </c>
      <c r="E277" s="14" t="inlineStr">
        <is>
          <t>Thêm quỹ, số dư ban đầu</t>
        </is>
      </c>
      <c r="F277" s="13" t="inlineStr">
        <is>
          <t>A-KH-011</t>
        </is>
      </c>
      <c r="G277" s="13">
        <f>IFERROR(INDEX(App!$L:$L,MATCH(F277,App!$A:$A,0)),"")</f>
        <v/>
      </c>
      <c r="H277" s="13" t="inlineStr">
        <is>
          <t>Cao</t>
        </is>
      </c>
    </row>
    <row r="278">
      <c r="A278" s="13">
        <f>IF(G278="Đạt","☑",IF(G278="Lỗi","✗",IF(G278="Bỏ qua","–","☐")))</f>
        <v/>
      </c>
      <c r="B278" s="13" t="n">
        <v>259</v>
      </c>
      <c r="C278" s="13" t="inlineStr">
        <is>
          <t>App</t>
        </is>
      </c>
      <c r="D278" s="14" t="inlineStr">
        <is>
          <t>Lý do nghiệp vụ</t>
        </is>
      </c>
      <c r="E278" s="14" t="inlineStr">
        <is>
          <t>Loại lý do</t>
        </is>
      </c>
      <c r="F278" s="13" t="inlineStr">
        <is>
          <t>A-KH-012</t>
        </is>
      </c>
      <c r="G278" s="13">
        <f>IFERROR(INDEX(App!$L:$L,MATCH(F278,App!$A:$A,0)),"")</f>
        <v/>
      </c>
      <c r="H278" s="13" t="inlineStr">
        <is>
          <t>Trung bình</t>
        </is>
      </c>
    </row>
    <row r="279">
      <c r="A279" s="13">
        <f>IF(G279="Đạt","☑",IF(G279="Lỗi","✗",IF(G279="Bỏ qua","–","☐")))</f>
        <v/>
      </c>
      <c r="B279" s="13" t="n">
        <v>260</v>
      </c>
      <c r="C279" s="13" t="inlineStr">
        <is>
          <t>App</t>
        </is>
      </c>
      <c r="D279" s="14" t="inlineStr">
        <is>
          <t>Nhóm lý do, Phương thức thanh toán</t>
        </is>
      </c>
      <c r="E279" s="14" t="inlineStr">
        <is>
          <t>Chỉ xem</t>
        </is>
      </c>
      <c r="F279" s="13" t="inlineStr">
        <is>
          <t>A-KH-013</t>
        </is>
      </c>
      <c r="G279" s="13">
        <f>IFERROR(INDEX(App!$L:$L,MATCH(F279,App!$A:$A,0)),"")</f>
        <v/>
      </c>
      <c r="H279" s="13" t="inlineStr">
        <is>
          <t>Trung bình</t>
        </is>
      </c>
    </row>
    <row r="280">
      <c r="A280" s="13">
        <f>IF(G280="Đạt","☑",IF(G280="Lỗi","✗",IF(G280="Bỏ qua","–","☐")))</f>
        <v/>
      </c>
      <c r="B280" s="13" t="n">
        <v>261</v>
      </c>
      <c r="C280" s="13" t="inlineStr">
        <is>
          <t>App</t>
        </is>
      </c>
      <c r="D280" s="14" t="inlineStr">
        <is>
          <t>Cửa hàng</t>
        </is>
      </c>
      <c r="E280" s="14" t="inlineStr">
        <is>
          <t>Chi tiết cửa hàng</t>
        </is>
      </c>
      <c r="F280" s="13" t="inlineStr">
        <is>
          <t>A-KH-014</t>
        </is>
      </c>
      <c r="G280" s="13">
        <f>IFERROR(INDEX(App!$L:$L,MATCH(F280,App!$A:$A,0)),"")</f>
        <v/>
      </c>
      <c r="H280" s="13" t="inlineStr">
        <is>
          <t>Cao</t>
        </is>
      </c>
    </row>
    <row r="281">
      <c r="A281" s="13">
        <f>IF(G281="Đạt","☑",IF(G281="Lỗi","✗",IF(G281="Bỏ qua","–","☐")))</f>
        <v/>
      </c>
      <c r="B281" s="13" t="n">
        <v>262</v>
      </c>
      <c r="C281" s="13" t="inlineStr">
        <is>
          <t>App</t>
        </is>
      </c>
      <c r="D281" s="14" t="inlineStr">
        <is>
          <t>Cửa hàng</t>
        </is>
      </c>
      <c r="E281" s="14" t="inlineStr">
        <is>
          <t>Đồng bộ FABi</t>
        </is>
      </c>
      <c r="F281" s="13" t="inlineStr">
        <is>
          <t>A-KH-015</t>
        </is>
      </c>
      <c r="G281" s="13">
        <f>IFERROR(INDEX(App!$L:$L,MATCH(F281,App!$A:$A,0)),"")</f>
        <v/>
      </c>
      <c r="H281" s="13" t="inlineStr">
        <is>
          <t>Thấp</t>
        </is>
      </c>
    </row>
    <row r="282">
      <c r="A282" s="13">
        <f>IF(G282="Đạt","☑",IF(G282="Lỗi","✗",IF(G282="Bỏ qua","–","☐")))</f>
        <v/>
      </c>
      <c r="B282" s="13" t="n">
        <v>263</v>
      </c>
      <c r="C282" s="13" t="inlineStr">
        <is>
          <t>App</t>
        </is>
      </c>
      <c r="D282" s="14" t="inlineStr">
        <is>
          <t>Thêm cửa hàng FABi</t>
        </is>
      </c>
      <c r="E282" s="14" t="inlineStr">
        <is>
          <t>Thêm cửa hàng từ FABi</t>
        </is>
      </c>
      <c r="F282" s="13" t="inlineStr">
        <is>
          <t>A-KH-016</t>
        </is>
      </c>
      <c r="G282" s="13">
        <f>IFERROR(INDEX(App!$L:$L,MATCH(F282,App!$A:$A,0)),"")</f>
        <v/>
      </c>
      <c r="H282" s="13" t="inlineStr">
        <is>
          <t>Cao</t>
        </is>
      </c>
    </row>
    <row r="283">
      <c r="A283" s="13">
        <f>IF(G283="Đạt","☑",IF(G283="Lỗi","✗",IF(G283="Bỏ qua","–","☐")))</f>
        <v/>
      </c>
      <c r="B283" s="13" t="n">
        <v>264</v>
      </c>
      <c r="C283" s="13" t="inlineStr">
        <is>
          <t>App</t>
        </is>
      </c>
      <c r="D283" s="14" t="inlineStr">
        <is>
          <t>Thông tin đơn vị</t>
        </is>
      </c>
      <c r="E283" s="14" t="inlineStr">
        <is>
          <t>Lưu thông tin đơn vị</t>
        </is>
      </c>
      <c r="F283" s="13" t="inlineStr">
        <is>
          <t>A-KH-017</t>
        </is>
      </c>
      <c r="G283" s="13">
        <f>IFERROR(INDEX(App!$L:$L,MATCH(F283,App!$A:$A,0)),"")</f>
        <v/>
      </c>
      <c r="H283" s="13" t="inlineStr">
        <is>
          <t>Cao</t>
        </is>
      </c>
    </row>
    <row r="284">
      <c r="A284" s="13">
        <f>IF(G284="Đạt","☑",IF(G284="Lỗi","✗",IF(G284="Bỏ qua","–","☐")))</f>
        <v/>
      </c>
      <c r="B284" s="13" t="n">
        <v>265</v>
      </c>
      <c r="C284" s="13" t="inlineStr">
        <is>
          <t>App</t>
        </is>
      </c>
      <c r="D284" s="14" t="inlineStr">
        <is>
          <t>Thông tin đơn vị</t>
        </is>
      </c>
      <c r="E284" s="14" t="inlineStr">
        <is>
          <t>Thiết lập hộ kinh doanh</t>
        </is>
      </c>
      <c r="F284" s="13" t="inlineStr">
        <is>
          <t>A-KH-018</t>
        </is>
      </c>
      <c r="G284" s="13">
        <f>IFERROR(INDEX(App!$L:$L,MATCH(F284,App!$A:$A,0)),"")</f>
        <v/>
      </c>
      <c r="H284" s="13" t="inlineStr">
        <is>
          <t>Trung bình</t>
        </is>
      </c>
    </row>
    <row r="285">
      <c r="A285" s="13">
        <f>IF(G285="Đạt","☑",IF(G285="Lỗi","✗",IF(G285="Bỏ qua","–","☐")))</f>
        <v/>
      </c>
      <c r="B285" s="13" t="n">
        <v>266</v>
      </c>
      <c r="C285" s="13" t="inlineStr">
        <is>
          <t>App</t>
        </is>
      </c>
      <c r="D285" s="14" t="inlineStr">
        <is>
          <t>Cấu hình kế toán</t>
        </is>
      </c>
      <c r="E285" s="14" t="inlineStr">
        <is>
          <t>Cấu hình kế toán</t>
        </is>
      </c>
      <c r="F285" s="13" t="inlineStr">
        <is>
          <t>A-KH-019</t>
        </is>
      </c>
      <c r="G285" s="13">
        <f>IFERROR(INDEX(App!$L:$L,MATCH(F285,App!$A:$A,0)),"")</f>
        <v/>
      </c>
      <c r="H285" s="13" t="inlineStr">
        <is>
          <t>Thấp</t>
        </is>
      </c>
    </row>
    <row r="286">
      <c r="A286" s="13">
        <f>IF(G286="Đạt","☑",IF(G286="Lỗi","✗",IF(G286="Bỏ qua","–","☐")))</f>
        <v/>
      </c>
      <c r="B286" s="13" t="n">
        <v>267</v>
      </c>
      <c r="C286" s="13" t="inlineStr">
        <is>
          <t>App</t>
        </is>
      </c>
      <c r="D286" s="14" t="inlineStr">
        <is>
          <t>Khoá sổ</t>
        </is>
      </c>
      <c r="E286" s="14" t="inlineStr">
        <is>
          <t>5 bước kiểm tra</t>
        </is>
      </c>
      <c r="F286" s="13" t="inlineStr">
        <is>
          <t>A-KH-020</t>
        </is>
      </c>
      <c r="G286" s="13">
        <f>IFERROR(INDEX(App!$L:$L,MATCH(F286,App!$A:$A,0)),"")</f>
        <v/>
      </c>
      <c r="H286" s="13" t="inlineStr">
        <is>
          <t>Cao</t>
        </is>
      </c>
    </row>
    <row r="287">
      <c r="A287" s="13">
        <f>IF(G287="Đạt","☑",IF(G287="Lỗi","✗",IF(G287="Bỏ qua","–","☐")))</f>
        <v/>
      </c>
      <c r="B287" s="13" t="n">
        <v>268</v>
      </c>
      <c r="C287" s="13" t="inlineStr">
        <is>
          <t>App</t>
        </is>
      </c>
      <c r="D287" s="14" t="inlineStr">
        <is>
          <t>Khoá sổ</t>
        </is>
      </c>
      <c r="E287" s="14" t="inlineStr">
        <is>
          <t>Khoá theo cửa hàng</t>
        </is>
      </c>
      <c r="F287" s="13" t="inlineStr">
        <is>
          <t>A-KH-021</t>
        </is>
      </c>
      <c r="G287" s="13">
        <f>IFERROR(INDEX(App!$L:$L,MATCH(F287,App!$A:$A,0)),"")</f>
        <v/>
      </c>
      <c r="H287" s="13" t="inlineStr">
        <is>
          <t>Cao</t>
        </is>
      </c>
    </row>
    <row r="288">
      <c r="A288" s="13">
        <f>IF(G288="Đạt","☑",IF(G288="Lỗi","✗",IF(G288="Bỏ qua","–","☐")))</f>
        <v/>
      </c>
      <c r="B288" s="13" t="n">
        <v>269</v>
      </c>
      <c r="C288" s="13" t="inlineStr">
        <is>
          <t>App</t>
        </is>
      </c>
      <c r="D288" s="14" t="inlineStr">
        <is>
          <t>Khoá sổ</t>
        </is>
      </c>
      <c r="E288" s="14" t="inlineStr">
        <is>
          <t>Mở khoá cần lý do</t>
        </is>
      </c>
      <c r="F288" s="13" t="inlineStr">
        <is>
          <t>A-KH-022</t>
        </is>
      </c>
      <c r="G288" s="13">
        <f>IFERROR(INDEX(App!$L:$L,MATCH(F288,App!$A:$A,0)),"")</f>
        <v/>
      </c>
      <c r="H288" s="13" t="inlineStr">
        <is>
          <t>Cao</t>
        </is>
      </c>
    </row>
    <row r="289">
      <c r="A289" s="13">
        <f>IF(G289="Đạt","☑",IF(G289="Lỗi","✗",IF(G289="Bỏ qua","–","☐")))</f>
        <v/>
      </c>
      <c r="B289" s="13" t="n">
        <v>270</v>
      </c>
      <c r="C289" s="13" t="inlineStr">
        <is>
          <t>App</t>
        </is>
      </c>
      <c r="D289" s="14" t="inlineStr">
        <is>
          <t>Gói thuê bao</t>
        </is>
      </c>
      <c r="E289" s="14" t="inlineStr">
        <is>
          <t>Gói thuê bao</t>
        </is>
      </c>
      <c r="F289" s="13" t="inlineStr">
        <is>
          <t>A-KH-023</t>
        </is>
      </c>
      <c r="G289" s="13">
        <f>IFERROR(INDEX(App!$L:$L,MATCH(F289,App!$A:$A,0)),"")</f>
        <v/>
      </c>
      <c r="H289" s="13" t="inlineStr">
        <is>
          <t>Trung bình</t>
        </is>
      </c>
    </row>
    <row r="290">
      <c r="A290" s="12" t="inlineStr">
        <is>
          <t>Xem phiếu</t>
        </is>
      </c>
      <c r="B290" s="12" t="n"/>
      <c r="C290" s="12" t="n"/>
      <c r="D290" s="12" t="n"/>
      <c r="E290" s="12" t="n"/>
      <c r="F290" s="12" t="n"/>
      <c r="G290" s="12">
        <f>COUNTIF(G291:G293,"Đạt")&amp;"/3 đạt"</f>
        <v/>
      </c>
      <c r="H290" s="12" t="n"/>
    </row>
    <row r="291">
      <c r="A291" s="13">
        <f>IF(G291="Đạt","☑",IF(G291="Lỗi","✗",IF(G291="Bỏ qua","–","☐")))</f>
        <v/>
      </c>
      <c r="B291" s="13" t="n">
        <v>271</v>
      </c>
      <c r="C291" s="13" t="inlineStr">
        <is>
          <t>App</t>
        </is>
      </c>
      <c r="D291" s="14" t="inlineStr">
        <is>
          <t>Xem phiếu (chung)</t>
        </is>
      </c>
      <c r="E291" s="14" t="inlineStr">
        <is>
          <t>Không Ghi sổ, không Xuất Excel</t>
        </is>
      </c>
      <c r="F291" s="13" t="inlineStr">
        <is>
          <t>A-XP-001</t>
        </is>
      </c>
      <c r="G291" s="13">
        <f>IFERROR(INDEX(App!$L:$L,MATCH(F291,App!$A:$A,0)),"")</f>
        <v/>
      </c>
      <c r="H291" s="13" t="inlineStr">
        <is>
          <t>Cao</t>
        </is>
      </c>
    </row>
    <row r="292">
      <c r="A292" s="13">
        <f>IF(G292="Đạt","☑",IF(G292="Lỗi","✗",IF(G292="Bỏ qua","–","☐")))</f>
        <v/>
      </c>
      <c r="B292" s="13" t="n">
        <v>272</v>
      </c>
      <c r="C292" s="13" t="inlineStr">
        <is>
          <t>App</t>
        </is>
      </c>
      <c r="D292" s="14" t="inlineStr">
        <is>
          <t>Xem phiếu (chung)</t>
        </is>
      </c>
      <c r="E292" s="14" t="inlineStr">
        <is>
          <t>Thứ tự chặn xoá</t>
        </is>
      </c>
      <c r="F292" s="13" t="inlineStr">
        <is>
          <t>A-XP-002</t>
        </is>
      </c>
      <c r="G292" s="13">
        <f>IFERROR(INDEX(App!$L:$L,MATCH(F292,App!$A:$A,0)),"")</f>
        <v/>
      </c>
      <c r="H292" s="13" t="inlineStr">
        <is>
          <t>Cao</t>
        </is>
      </c>
    </row>
    <row r="293">
      <c r="A293" s="13">
        <f>IF(G293="Đạt","☑",IF(G293="Lỗi","✗",IF(G293="Bỏ qua","–","☐")))</f>
        <v/>
      </c>
      <c r="B293" s="13" t="n">
        <v>273</v>
      </c>
      <c r="C293" s="13" t="inlineStr">
        <is>
          <t>App</t>
        </is>
      </c>
      <c r="D293" s="14" t="inlineStr">
        <is>
          <t>Màn Thành công</t>
        </is>
      </c>
      <c r="E293" s="14" t="inlineStr">
        <is>
          <t>Các nút màn Thành công</t>
        </is>
      </c>
      <c r="F293" s="13" t="inlineStr">
        <is>
          <t>A-XP-003</t>
        </is>
      </c>
      <c r="G293" s="13">
        <f>IFERROR(INDEX(App!$L:$L,MATCH(F293,App!$A:$A,0)),"")</f>
        <v/>
      </c>
      <c r="H293" s="13" t="inlineStr">
        <is>
          <t>Trung bình</t>
        </is>
      </c>
    </row>
  </sheetData>
  <autoFilter ref="A4:H293"/>
  <conditionalFormatting sqref="G5:G293">
    <cfRule type="cellIs" priority="1" operator="equal" dxfId="0">
      <formula>"Đạt"</formula>
    </cfRule>
    <cfRule type="cellIs" priority="2" operator="equal" dxfId="1">
      <formula>"Lỗi"</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24" customWidth="1" min="3" max="3"/>
    <col width="24" customWidth="1" min="4" max="4"/>
    <col width="11" customWidth="1" min="5" max="5"/>
    <col width="34" customWidth="1" min="6" max="6"/>
    <col width="26" customWidth="1" min="7" max="7"/>
    <col width="48" customWidth="1" min="8" max="8"/>
    <col width="52" customWidth="1" min="9" max="9"/>
    <col width="10" customWidth="1" min="10" max="10"/>
    <col width="30" customWidth="1" min="11" max="11"/>
    <col width="12" customWidth="1" min="12" max="12"/>
    <col width="13" customWidth="1" min="13" max="13"/>
    <col width="11" customWidth="1" min="14" max="14"/>
    <col width="26" customWidth="1" min="15" max="15"/>
  </cols>
  <sheetData>
    <row r="1" ht="30" customHeight="1">
      <c r="A1" s="15" t="inlineStr">
        <is>
          <t>Mã TC</t>
        </is>
      </c>
      <c r="B1" s="15" t="inlineStr">
        <is>
          <t>Phân hệ</t>
        </is>
      </c>
      <c r="C1" s="15" t="inlineStr">
        <is>
          <t>Màn hình</t>
        </is>
      </c>
      <c r="D1" s="15" t="inlineStr">
        <is>
          <t>Đường dẫn</t>
        </is>
      </c>
      <c r="E1" s="15" t="inlineStr">
        <is>
          <t>Loại kiểm</t>
        </is>
      </c>
      <c r="F1" s="15" t="inlineStr">
        <is>
          <t>Mục đích</t>
        </is>
      </c>
      <c r="G1" s="15" t="inlineStr">
        <is>
          <t>Tiền điều kiện</t>
        </is>
      </c>
      <c r="H1" s="15" t="inlineStr">
        <is>
          <t>Các bước</t>
        </is>
      </c>
      <c r="I1" s="15" t="inlineStr">
        <is>
          <t>Kết quả mong đợi</t>
        </is>
      </c>
      <c r="J1" s="15" t="inlineStr">
        <is>
          <t>Ưu tiên</t>
        </is>
      </c>
      <c r="K1" s="15" t="inlineStr">
        <is>
          <t>Kết quả thực tế</t>
        </is>
      </c>
      <c r="L1" s="15" t="inlineStr">
        <is>
          <t>Trạng thái</t>
        </is>
      </c>
      <c r="M1" s="15" t="inlineStr">
        <is>
          <t>Người test</t>
        </is>
      </c>
      <c r="N1" s="15" t="inlineStr">
        <is>
          <t>Ngày test</t>
        </is>
      </c>
      <c r="O1" s="15" t="inlineStr">
        <is>
          <t>Ghi chú</t>
        </is>
      </c>
    </row>
    <row r="2">
      <c r="A2" s="16" t="inlineStr">
        <is>
          <t>W-KA-001</t>
        </is>
      </c>
      <c r="B2" s="16" t="inlineStr">
        <is>
          <t>Khung app</t>
        </is>
      </c>
      <c r="C2" s="16" t="inlineStr">
        <is>
          <t>Sidebar</t>
        </is>
      </c>
      <c r="D2" s="16" t="inlineStr">
        <is>
          <t>/app</t>
        </is>
      </c>
      <c r="E2" s="16" t="inlineStr">
        <is>
          <t>Hiển thị</t>
        </is>
      </c>
      <c r="F2" s="16" t="inlineStr">
        <is>
          <t>Sidebar chỉ hiện phân hệ của gói Standard</t>
        </is>
      </c>
      <c r="G2" s="16" t="inlineStr">
        <is>
          <t>Đăng nhập, đơn vị Phố Mây gói Standard, hộ kinh doanh TT152</t>
        </is>
      </c>
      <c r="H2" s="16" t="inlineStr">
        <is>
          <t>1. Vào /app
2. Xem sidebar</t>
        </is>
      </c>
      <c r="I2" s="16" t="inlineStr">
        <is>
          <t>Hiện: Trang chủ, Thu chi, Kế toán bán hàng, Kế toán mua hàng, Kiểm kê, Chi phí phân bổ, Kê khai thuế, Báo cáo, Danh mục, Hệ thống. Không có Tổng hợp, Tiện ích, TSCĐ, Giá thành</t>
        </is>
      </c>
      <c r="J2" s="16" t="inlineStr">
        <is>
          <t>Cao</t>
        </is>
      </c>
      <c r="K2" s="17" t="n"/>
      <c r="L2" s="17" t="inlineStr">
        <is>
          <t>Chưa test</t>
        </is>
      </c>
      <c r="M2" s="17" t="n"/>
      <c r="N2" s="18" t="n"/>
      <c r="O2" s="17" t="n"/>
    </row>
    <row r="3">
      <c r="A3" s="16" t="inlineStr">
        <is>
          <t>W-KA-002</t>
        </is>
      </c>
      <c r="B3" s="16" t="inlineStr">
        <is>
          <t>Khung app</t>
        </is>
      </c>
      <c r="C3" s="16" t="inlineStr">
        <is>
          <t>Sidebar</t>
        </is>
      </c>
      <c r="D3" s="16" t="inlineStr">
        <is>
          <t>/app</t>
        </is>
      </c>
      <c r="E3" s="16" t="inlineStr">
        <is>
          <t>Hiển thị</t>
        </is>
      </c>
      <c r="F3" s="16" t="inlineStr">
        <is>
          <t>Phân hệ Kho đổi tên thành Kiểm kê</t>
        </is>
      </c>
      <c r="G3" s="16" t="inlineStr">
        <is>
          <t>Đăng nhập, đơn vị Phố Mây gói Standard, hộ kinh doanh TT152</t>
        </is>
      </c>
      <c r="H3" s="16" t="inlineStr">
        <is>
          <t>1. Xem sidebar
2. Bấm Kiểm kê</t>
        </is>
      </c>
      <c r="I3" s="16" t="inlineStr">
        <is>
          <t>Tên phân hệ là Kiểm kê, mở tab Kiểm kê số lượng</t>
        </is>
      </c>
      <c r="J3" s="16" t="inlineStr">
        <is>
          <t>Trung bình</t>
        </is>
      </c>
      <c r="K3" s="17" t="n"/>
      <c r="L3" s="17" t="inlineStr">
        <is>
          <t>Chưa test</t>
        </is>
      </c>
      <c r="M3" s="17" t="n"/>
      <c r="N3" s="18" t="n"/>
      <c r="O3" s="17" t="n"/>
    </row>
    <row r="4">
      <c r="A4" s="16" t="inlineStr">
        <is>
          <t>W-KA-003</t>
        </is>
      </c>
      <c r="B4" s="16" t="inlineStr">
        <is>
          <t>Khung app</t>
        </is>
      </c>
      <c r="C4" s="16" t="inlineStr">
        <is>
          <t>Sidebar</t>
        </is>
      </c>
      <c r="D4" s="16" t="inlineStr">
        <is>
          <t>/app</t>
        </is>
      </c>
      <c r="E4" s="16" t="inlineStr">
        <is>
          <t>Hiển thị</t>
        </is>
      </c>
      <c r="F4" s="16" t="inlineStr">
        <is>
          <t>Tính năng ngoài gói ẩn hẳn, không có ổ khoá mời nâng cấp (QD22)</t>
        </is>
      </c>
      <c r="G4" s="16" t="inlineStr">
        <is>
          <t>Đăng nhập, đơn vị Phố Mây gói Standard, hộ kinh doanh TT152</t>
        </is>
      </c>
      <c r="H4" s="16" t="inlineStr">
        <is>
          <t>1. Mở lần lượt từng phân hệ
2. Xem các tab</t>
        </is>
      </c>
      <c r="I4" s="16" t="inlineStr">
        <is>
          <t>Không tab, nút, mục nào có biểu tượng khoá hay chữ Nâng cấp</t>
        </is>
      </c>
      <c r="J4" s="16" t="inlineStr">
        <is>
          <t>Cao</t>
        </is>
      </c>
      <c r="K4" s="17" t="n"/>
      <c r="L4" s="17" t="inlineStr">
        <is>
          <t>Chưa test</t>
        </is>
      </c>
      <c r="M4" s="17" t="n"/>
      <c r="N4" s="18" t="n"/>
      <c r="O4" s="17" t="n"/>
    </row>
    <row r="5">
      <c r="A5" s="16" t="inlineStr">
        <is>
          <t>W-KA-004</t>
        </is>
      </c>
      <c r="B5" s="16" t="inlineStr">
        <is>
          <t>Khung app</t>
        </is>
      </c>
      <c r="C5" s="16" t="inlineStr">
        <is>
          <t>Sidebar</t>
        </is>
      </c>
      <c r="D5" s="16" t="inlineStr">
        <is>
          <t>/app</t>
        </is>
      </c>
      <c r="E5" s="16" t="inlineStr">
        <is>
          <t>Chức năng</t>
        </is>
      </c>
      <c r="F5" s="16" t="inlineStr">
        <is>
          <t>Bấm logo về Tổng quan</t>
        </is>
      </c>
      <c r="G5" s="16" t="inlineStr">
        <is>
          <t>Đăng nhập, đơn vị Phố Mây gói Standard, hộ kinh doanh TT152</t>
        </is>
      </c>
      <c r="H5" s="16" t="inlineStr">
        <is>
          <t>1. Mở một màn bất kỳ, vd Danh mục hàng hoá
2. Bấm logo</t>
        </is>
      </c>
      <c r="I5" s="16" t="inlineStr">
        <is>
          <t>Về Trang chủ › Tổng quan</t>
        </is>
      </c>
      <c r="J5" s="16" t="inlineStr">
        <is>
          <t>Trung bình</t>
        </is>
      </c>
      <c r="K5" s="17" t="n"/>
      <c r="L5" s="17" t="inlineStr">
        <is>
          <t>Chưa test</t>
        </is>
      </c>
      <c r="M5" s="17" t="n"/>
      <c r="N5" s="18" t="n"/>
      <c r="O5" s="17" t="n"/>
    </row>
    <row r="6">
      <c r="A6" s="16" t="inlineStr">
        <is>
          <t>W-KA-005</t>
        </is>
      </c>
      <c r="B6" s="16" t="inlineStr">
        <is>
          <t>Khung app</t>
        </is>
      </c>
      <c r="C6" s="16" t="inlineStr">
        <is>
          <t>Mở màn</t>
        </is>
      </c>
      <c r="D6" s="16" t="inlineStr">
        <is>
          <t>/app</t>
        </is>
      </c>
      <c r="E6" s="16" t="inlineStr">
        <is>
          <t>Chức năng</t>
        </is>
      </c>
      <c r="F6" s="16" t="inlineStr">
        <is>
          <t>Vào /app luôn về Tổng quan, không có Bàn làm việc</t>
        </is>
      </c>
      <c r="G6" s="16" t="inlineStr">
        <is>
          <t>Đăng nhập, đơn vị Phố Mây gói Standard, hộ kinh doanh TT152</t>
        </is>
      </c>
      <c r="H6" s="16" t="inlineStr">
        <is>
          <t>1. Đăng nhập lần lượt bằng các vai trò mẫu
2. Vào /app</t>
        </is>
      </c>
      <c r="I6" s="16" t="inlineStr">
        <is>
          <t>Mọi vai trò mở Tổng quan, không có màn Bàn làm việc</t>
        </is>
      </c>
      <c r="J6" s="16" t="inlineStr">
        <is>
          <t>Cao</t>
        </is>
      </c>
      <c r="K6" s="17" t="n"/>
      <c r="L6" s="17" t="inlineStr">
        <is>
          <t>Chưa test</t>
        </is>
      </c>
      <c r="M6" s="17" t="n"/>
      <c r="N6" s="18" t="n"/>
      <c r="O6" s="17" t="n"/>
    </row>
    <row r="7">
      <c r="A7" s="16" t="inlineStr">
        <is>
          <t>W-KA-006</t>
        </is>
      </c>
      <c r="B7" s="16" t="inlineStr">
        <is>
          <t>Khung app</t>
        </is>
      </c>
      <c r="C7" s="16" t="inlineStr">
        <is>
          <t>Mở màn</t>
        </is>
      </c>
      <c r="D7" s="16" t="inlineStr">
        <is>
          <t>/app/he-thong/nguoi-dung</t>
        </is>
      </c>
      <c r="E7" s="16" t="inlineStr">
        <is>
          <t>Ràng buộc</t>
        </is>
      </c>
      <c r="F7" s="16" t="inlineStr">
        <is>
          <t>Gõ đường dẫn màn ngoài gói thì về màn đầu phân hệ</t>
        </is>
      </c>
      <c r="G7" s="16" t="inlineStr">
        <is>
          <t>Đăng nhập, đơn vị Phố Mây gói Standard, hộ kinh doanh TT152</t>
        </is>
      </c>
      <c r="H7" s="16" t="inlineStr">
        <is>
          <t>1. Gõ thẳng đường dẫn /app/he-thong/nguoi-dung
2. Gõ /app/tong-hop/... một màn Tổng hợp</t>
        </is>
      </c>
      <c r="I7" s="16" t="inlineStr">
        <is>
          <t>Chuyển về màn đầu của phân hệ, không hiện trang Nâng cấp, không hiện thẻ Chưa mở bán</t>
        </is>
      </c>
      <c r="J7" s="16" t="inlineStr">
        <is>
          <t>Cao</t>
        </is>
      </c>
      <c r="K7" s="17" t="n"/>
      <c r="L7" s="17" t="inlineStr">
        <is>
          <t>Chưa test</t>
        </is>
      </c>
      <c r="M7" s="17" t="n"/>
      <c r="N7" s="18" t="n"/>
      <c r="O7" s="17" t="n"/>
    </row>
    <row r="8">
      <c r="A8" s="16" t="inlineStr">
        <is>
          <t>W-KA-007</t>
        </is>
      </c>
      <c r="B8" s="16" t="inlineStr">
        <is>
          <t>Khung app</t>
        </is>
      </c>
      <c r="C8" s="16" t="inlineStr">
        <is>
          <t>Thanh trên</t>
        </is>
      </c>
      <c r="D8" s="16" t="inlineStr">
        <is>
          <t>/app</t>
        </is>
      </c>
      <c r="E8" s="16" t="inlineStr">
        <is>
          <t>Chức năng</t>
        </is>
      </c>
      <c r="F8" s="16" t="inlineStr">
        <is>
          <t>Đổi đơn vị kế toán</t>
        </is>
      </c>
      <c r="G8" s="16" t="inlineStr">
        <is>
          <t>Đăng nhập, đơn vị Phố Mây gói Standard, hộ kinh doanh TT152</t>
        </is>
      </c>
      <c r="H8" s="16" t="inlineStr">
        <is>
          <t>1. Bấm ô chọn đơn vị
2. Chọn đơn vị khác</t>
        </is>
      </c>
      <c r="I8" s="16" t="inlineStr">
        <is>
          <t>Đổi gói theo đơn vị mới, cửa hàng về Tất cả cửa hàng. Có mục Thêm đơn vị kế toán</t>
        </is>
      </c>
      <c r="J8" s="16" t="inlineStr">
        <is>
          <t>Trung bình</t>
        </is>
      </c>
      <c r="K8" s="17" t="n"/>
      <c r="L8" s="17" t="inlineStr">
        <is>
          <t>Chưa test</t>
        </is>
      </c>
      <c r="M8" s="17" t="n"/>
      <c r="N8" s="18" t="n"/>
      <c r="O8" s="17" t="n"/>
    </row>
    <row r="9">
      <c r="A9" s="16" t="inlineStr">
        <is>
          <t>W-KA-008</t>
        </is>
      </c>
      <c r="B9" s="16" t="inlineStr">
        <is>
          <t>Khung app</t>
        </is>
      </c>
      <c r="C9" s="16" t="inlineStr">
        <is>
          <t>Thanh trên</t>
        </is>
      </c>
      <c r="D9" s="16" t="inlineStr">
        <is>
          <t>/app</t>
        </is>
      </c>
      <c r="E9" s="16" t="inlineStr">
        <is>
          <t>Chức năng</t>
        </is>
      </c>
      <c r="F9" s="16" t="inlineStr">
        <is>
          <t>Chọn cửa hàng làm việc lọc danh sách, báo cáo</t>
        </is>
      </c>
      <c r="G9" s="16" t="inlineStr">
        <is>
          <t>Đăng nhập, đơn vị Phố Mây gói Standard, hộ kinh doanh TT152</t>
        </is>
      </c>
      <c r="H9" s="16" t="inlineStr">
        <is>
          <t>1. Chọn cửa hàng A
2. Mở danh sách phiếu thu chi
3. Đổi sang Tất cả cửa hàng</t>
        </is>
      </c>
      <c r="I9" s="16" t="inlineStr">
        <is>
          <t>Bước 2 chỉ có phiếu của cửa hàng A; bước 3 hiện gộp mọi cửa hàng</t>
        </is>
      </c>
      <c r="J9" s="16" t="inlineStr">
        <is>
          <t>Cao</t>
        </is>
      </c>
      <c r="K9" s="17" t="n"/>
      <c r="L9" s="17" t="inlineStr">
        <is>
          <t>Chưa test</t>
        </is>
      </c>
      <c r="M9" s="17" t="n"/>
      <c r="N9" s="18" t="n"/>
      <c r="O9" s="17" t="n"/>
    </row>
    <row r="10">
      <c r="A10" s="16" t="inlineStr">
        <is>
          <t>W-KA-009</t>
        </is>
      </c>
      <c r="B10" s="16" t="inlineStr">
        <is>
          <t>Khung app</t>
        </is>
      </c>
      <c r="C10" s="16" t="inlineStr">
        <is>
          <t>Thanh trên</t>
        </is>
      </c>
      <c r="D10" s="16" t="inlineStr">
        <is>
          <t>/app</t>
        </is>
      </c>
      <c r="E10" s="16" t="inlineStr">
        <is>
          <t>Ràng buộc</t>
        </is>
      </c>
      <c r="F10" s="16" t="inlineStr">
        <is>
          <t>Đang xem Tất cả cửa hàng thì phải chọn cửa hàng trước khi lập phiếu</t>
        </is>
      </c>
      <c r="G10" s="16" t="inlineStr">
        <is>
          <t>Đăng nhập, đơn vị Phố Mây gói Standard, hộ kinh doanh TT152</t>
        </is>
      </c>
      <c r="H10" s="16" t="inlineStr">
        <is>
          <t>1. Chọn Tất cả cửa hàng
2. Bấm Thêm phiếu thu</t>
        </is>
      </c>
      <c r="I10" s="16" t="inlineStr">
        <is>
          <t>Hiện hộp chọn cửa hàng. Chọn xong mới mở form phiếu, form gắn cửa hàng vừa chọn</t>
        </is>
      </c>
      <c r="J10" s="16" t="inlineStr">
        <is>
          <t>Cao</t>
        </is>
      </c>
      <c r="K10" s="17" t="n"/>
      <c r="L10" s="17" t="inlineStr">
        <is>
          <t>Chưa test</t>
        </is>
      </c>
      <c r="M10" s="17" t="n"/>
      <c r="N10" s="18" t="n"/>
      <c r="O10" s="17" t="n"/>
    </row>
    <row r="11">
      <c r="A11" s="16" t="inlineStr">
        <is>
          <t>W-KA-010</t>
        </is>
      </c>
      <c r="B11" s="16" t="inlineStr">
        <is>
          <t>Khung app</t>
        </is>
      </c>
      <c r="C11" s="16" t="inlineStr">
        <is>
          <t>Thanh trên</t>
        </is>
      </c>
      <c r="D11" s="16" t="inlineStr">
        <is>
          <t>/app</t>
        </is>
      </c>
      <c r="E11" s="16" t="inlineStr">
        <is>
          <t>Hiển thị</t>
        </is>
      </c>
      <c r="F11" s="16" t="inlineStr">
        <is>
          <t>Chip Dùng thử còn N ngày</t>
        </is>
      </c>
      <c r="G11" s="16" t="inlineStr">
        <is>
          <t>Đăng nhập, đơn vị Phố Mây gói Standard, hộ kinh doanh TT152</t>
        </is>
      </c>
      <c r="H11" s="16" t="inlineStr">
        <is>
          <t>1. Đơn vị tạo từ FABi
2. Xem thanh trên
3. Đổi ngày tạo để còn ≤ 7 ngày</t>
        </is>
      </c>
      <c r="I11" s="16" t="inlineStr">
        <is>
          <t>Hiện Dùng thử · còn N ngày, tính 30 ngày từ ngày tạo; còn từ 7 ngày trở xuống thì tô màu cảnh báo</t>
        </is>
      </c>
      <c r="J11" s="16" t="inlineStr">
        <is>
          <t>Trung bình</t>
        </is>
      </c>
      <c r="K11" s="17" t="n"/>
      <c r="L11" s="17" t="inlineStr">
        <is>
          <t>Chưa test</t>
        </is>
      </c>
      <c r="M11" s="17" t="n"/>
      <c r="N11" s="18" t="n"/>
      <c r="O11" s="17" t="n"/>
    </row>
    <row r="12">
      <c r="A12" s="16" t="inlineStr">
        <is>
          <t>W-KA-011</t>
        </is>
      </c>
      <c r="B12" s="16" t="inlineStr">
        <is>
          <t>Khung app</t>
        </is>
      </c>
      <c r="C12" s="16" t="inlineStr">
        <is>
          <t>Thanh trên</t>
        </is>
      </c>
      <c r="D12" s="16" t="inlineStr">
        <is>
          <t>/app</t>
        </is>
      </c>
      <c r="E12" s="16" t="inlineStr">
        <is>
          <t>Hiển thị</t>
        </is>
      </c>
      <c r="F12" s="16" t="inlineStr">
        <is>
          <t>Gói Standard ẩn chuông thông báo, menu tài khoản ẩn Người dùng</t>
        </is>
      </c>
      <c r="G12" s="16" t="inlineStr">
        <is>
          <t>Đăng nhập, đơn vị Phố Mây gói Standard, hộ kinh doanh TT152</t>
        </is>
      </c>
      <c r="H12" s="16" t="inlineStr">
        <is>
          <t>1. Xem thanh trên
2. Mở menu tài khoản</t>
        </is>
      </c>
      <c r="I12" s="16" t="inlineStr">
        <is>
          <t>Không có chuông thông báo, menu không có mục Người dùng</t>
        </is>
      </c>
      <c r="J12" s="16" t="inlineStr">
        <is>
          <t>Trung bình</t>
        </is>
      </c>
      <c r="K12" s="17" t="n"/>
      <c r="L12" s="17" t="inlineStr">
        <is>
          <t>Chưa test</t>
        </is>
      </c>
      <c r="M12" s="17" t="n"/>
      <c r="N12" s="18" t="n"/>
      <c r="O12" s="17" t="n"/>
    </row>
    <row r="13">
      <c r="A13" s="16" t="inlineStr">
        <is>
          <t>W-KA-012</t>
        </is>
      </c>
      <c r="B13" s="16" t="inlineStr">
        <is>
          <t>Khung app</t>
        </is>
      </c>
      <c r="C13" s="16" t="inlineStr">
        <is>
          <t>Tìm nhanh (Ctrl+K)</t>
        </is>
      </c>
      <c r="D13" s="16" t="inlineStr">
        <is>
          <t>/app</t>
        </is>
      </c>
      <c r="E13" s="16" t="inlineStr">
        <is>
          <t>Chức năng</t>
        </is>
      </c>
      <c r="F13" s="16" t="inlineStr">
        <is>
          <t>Tìm màn bằng chữ không dấu</t>
        </is>
      </c>
      <c r="G13" s="16" t="inlineStr">
        <is>
          <t>Đăng nhập, đơn vị Phố Mây gói Standard, hộ kinh doanh TT152</t>
        </is>
      </c>
      <c r="H13" s="16" t="inlineStr">
        <is>
          <t>1. Bấm Ctrl+K
2. Gõ 'kiem ke'</t>
        </is>
      </c>
      <c r="I13" s="16" t="inlineStr">
        <is>
          <t>Ra Kiểm kê số lượng, Báo cáo kiểm kê; bấm kết quả mở đúng màn</t>
        </is>
      </c>
      <c r="J13" s="16" t="inlineStr">
        <is>
          <t>Trung bình</t>
        </is>
      </c>
      <c r="K13" s="17" t="n"/>
      <c r="L13" s="17" t="inlineStr">
        <is>
          <t>Chưa test</t>
        </is>
      </c>
      <c r="M13" s="17" t="n"/>
      <c r="N13" s="18" t="n"/>
      <c r="O13" s="17" t="n"/>
    </row>
    <row r="14">
      <c r="A14" s="16" t="inlineStr">
        <is>
          <t>W-KA-013</t>
        </is>
      </c>
      <c r="B14" s="16" t="inlineStr">
        <is>
          <t>Khung app</t>
        </is>
      </c>
      <c r="C14" s="16" t="inlineStr">
        <is>
          <t>Tìm nhanh (Ctrl+K)</t>
        </is>
      </c>
      <c r="D14" s="16" t="inlineStr">
        <is>
          <t>/app</t>
        </is>
      </c>
      <c r="E14" s="16" t="inlineStr">
        <is>
          <t>Ràng buộc</t>
        </is>
      </c>
      <c r="F14" s="16" t="inlineStr">
        <is>
          <t>Tìm nhanh không ra màn ngoài gói</t>
        </is>
      </c>
      <c r="G14" s="16" t="inlineStr">
        <is>
          <t>Đăng nhập, đơn vị Phố Mây gói Standard, hộ kinh doanh TT152</t>
        </is>
      </c>
      <c r="H14" s="16" t="inlineStr">
        <is>
          <t>1. Ctrl+K
2. Gõ 'tai san', 'nguoi dung', 'tong hop', 'gia thanh'</t>
        </is>
      </c>
      <c r="I14" s="16" t="inlineStr">
        <is>
          <t>Không ra màn TSCĐ, Người dùng, Tổng hợp, Giá thành</t>
        </is>
      </c>
      <c r="J14" s="16" t="inlineStr">
        <is>
          <t>Trung bình</t>
        </is>
      </c>
      <c r="K14" s="17" t="n"/>
      <c r="L14" s="17" t="inlineStr">
        <is>
          <t>Chưa test</t>
        </is>
      </c>
      <c r="M14" s="17" t="n"/>
      <c r="N14" s="18" t="n"/>
      <c r="O14" s="17" t="n"/>
    </row>
    <row r="15">
      <c r="A15" s="16" t="inlineStr">
        <is>
          <t>W-KA-014</t>
        </is>
      </c>
      <c r="B15" s="16" t="inlineStr">
        <is>
          <t>Khung app</t>
        </is>
      </c>
      <c r="C15" s="16" t="inlineStr">
        <is>
          <t>Thao tác nhanh</t>
        </is>
      </c>
      <c r="D15" s="16" t="inlineStr">
        <is>
          <t>/app/thao-tac-nhanh/danh-sach</t>
        </is>
      </c>
      <c r="E15" s="16" t="inlineStr">
        <is>
          <t>Chức năng</t>
        </is>
      </c>
      <c r="F15" s="16" t="inlineStr">
        <is>
          <t>Thao tác nhanh mặc định và tuỳ chỉnh</t>
        </is>
      </c>
      <c r="G15" s="16" t="inlineStr">
        <is>
          <t>Đăng nhập, đơn vị Phố Mây gói Standard, hộ kinh doanh TT152</t>
        </is>
      </c>
      <c r="H15" s="16" t="inlineStr">
        <is>
          <t>1. Mở Thao tác nhanh
2. Tuỳ chỉnh, thêm tới 8 ô
3. Thử thêm ô thứ 9
4. Tải lại trang</t>
        </is>
      </c>
      <c r="I15" s="16" t="inlineStr">
        <is>
          <t>Mặc định: Thu tiền, Chi tiền, Nhập mua, Kiểm kê, Kê khai thuế. Tối đa 8 ô, không thêm được ô thứ 9. Tải lại vẫn giữ tuỳ chỉnh</t>
        </is>
      </c>
      <c r="J15" s="16" t="inlineStr">
        <is>
          <t>Trung bình</t>
        </is>
      </c>
      <c r="K15" s="17" t="n"/>
      <c r="L15" s="17" t="inlineStr">
        <is>
          <t>Chưa test</t>
        </is>
      </c>
      <c r="M15" s="17" t="n"/>
      <c r="N15" s="18" t="n"/>
      <c r="O15" s="17" t="n"/>
    </row>
    <row r="16">
      <c r="A16" s="16" t="inlineStr">
        <is>
          <t>W-KT-001</t>
        </is>
      </c>
      <c r="B16" s="16" t="inlineStr">
        <is>
          <t>Đăng nhập, khởi tạo</t>
        </is>
      </c>
      <c r="C16" s="16" t="inlineStr">
        <is>
          <t>Đăng nhập</t>
        </is>
      </c>
      <c r="D16" s="16" t="inlineStr">
        <is>
          <t>/dang-nhap</t>
        </is>
      </c>
      <c r="E16" s="16" t="inlineStr">
        <is>
          <t>Ràng buộc</t>
        </is>
      </c>
      <c r="F16" s="16" t="inlineStr">
        <is>
          <t>Kiểm tra ô đăng nhập</t>
        </is>
      </c>
      <c r="G16" s="16" t="inlineStr">
        <is>
          <t>Chưa đăng nhập</t>
        </is>
      </c>
      <c r="H16" s="16" t="inlineStr">
        <is>
          <t>1. Để trống email/số điện thoại, bấm Đăng nhập
2. Nhập mật khẩu 5 ký tự
3. Nhập đúng tài khoản mẫu, mật khẩu ≥ 6 ký tự</t>
        </is>
      </c>
      <c r="I16" s="16" t="inlineStr">
        <is>
          <t>Bước 1, 2 báo lỗi, không vào. Bước 3 vào màn chọn đơn vị</t>
        </is>
      </c>
      <c r="J16" s="16" t="inlineStr">
        <is>
          <t>Cao</t>
        </is>
      </c>
      <c r="K16" s="17" t="n"/>
      <c r="L16" s="17" t="inlineStr">
        <is>
          <t>Chưa test</t>
        </is>
      </c>
      <c r="M16" s="17" t="n"/>
      <c r="N16" s="18" t="n"/>
      <c r="O16" s="17" t="n"/>
    </row>
    <row r="17">
      <c r="A17" s="16" t="inlineStr">
        <is>
          <t>W-KT-002</t>
        </is>
      </c>
      <c r="B17" s="16" t="inlineStr">
        <is>
          <t>Đăng nhập, khởi tạo</t>
        </is>
      </c>
      <c r="C17" s="16" t="inlineStr">
        <is>
          <t>Chọn đơn vị</t>
        </is>
      </c>
      <c r="D17" s="16" t="inlineStr">
        <is>
          <t>/chon-don-vi</t>
        </is>
      </c>
      <c r="E17" s="16" t="inlineStr">
        <is>
          <t>Hiển thị</t>
        </is>
      </c>
      <c r="F17" s="16" t="inlineStr">
        <is>
          <t>Thẻ đơn vị ghi đủ thông tin</t>
        </is>
      </c>
      <c r="G17" s="16" t="inlineStr">
        <is>
          <t>Đã đăng nhập</t>
        </is>
      </c>
      <c r="H17" s="16" t="inlineStr">
        <is>
          <t>1. Xem các thẻ đơn vị</t>
        </is>
      </c>
      <c r="I17" s="16" t="inlineStr">
        <is>
          <t>Mỗi thẻ có mã số thuế, chế độ, số điểm bán, kỳ đang mở; có link Thử mở từ FABi</t>
        </is>
      </c>
      <c r="J17" s="16" t="inlineStr">
        <is>
          <t>Trung bình</t>
        </is>
      </c>
      <c r="K17" s="17" t="n"/>
      <c r="L17" s="17" t="inlineStr">
        <is>
          <t>Chưa test</t>
        </is>
      </c>
      <c r="M17" s="17" t="n"/>
      <c r="N17" s="18" t="n"/>
      <c r="O17" s="17" t="n"/>
    </row>
    <row r="18">
      <c r="A18" s="16" t="inlineStr">
        <is>
          <t>W-KT-003</t>
        </is>
      </c>
      <c r="B18" s="16" t="inlineStr">
        <is>
          <t>Đăng nhập, khởi tạo</t>
        </is>
      </c>
      <c r="C18" s="16" t="inlineStr">
        <is>
          <t>Mở từ FABi</t>
        </is>
      </c>
      <c r="D18" s="16" t="inlineStr">
        <is>
          <t>/khoi-tao-fabi</t>
        </is>
      </c>
      <c r="E18" s="16" t="inlineStr">
        <is>
          <t>Chức năng</t>
        </is>
      </c>
      <c r="F18" s="16" t="inlineStr">
        <is>
          <t>Đi hết 4 màn mở từ FABi</t>
        </is>
      </c>
      <c r="G18" s="16" t="inlineStr">
        <is>
          <t>Đã đăng nhập</t>
        </is>
      </c>
      <c r="H18" s="16" t="inlineStr">
        <is>
          <t>1. Bấm Thử mở từ FABi
2. Màn Chào: xem số liệu FABi
3. Màn Giao diện: xem ảnh trang chủ đánh số 1–5
4. Màn chọn cửa hàng
5. Bấm Dùng thử</t>
        </is>
      </c>
      <c r="I18" s="16" t="inlineStr">
        <is>
          <t>Tạo đơn vị mới gói Standard, TT152, bắt đầu 30 ngày dùng thử, vào app, popup khởi tạo hiện đè lên</t>
        </is>
      </c>
      <c r="J18" s="16" t="inlineStr">
        <is>
          <t>Cao</t>
        </is>
      </c>
      <c r="K18" s="17" t="n"/>
      <c r="L18" s="17" t="inlineStr">
        <is>
          <t>Chưa test</t>
        </is>
      </c>
      <c r="M18" s="17" t="n"/>
      <c r="N18" s="18" t="n"/>
      <c r="O18" s="17" t="n"/>
    </row>
    <row r="19">
      <c r="A19" s="16" t="inlineStr">
        <is>
          <t>W-KT-004</t>
        </is>
      </c>
      <c r="B19" s="16" t="inlineStr">
        <is>
          <t>Đăng nhập, khởi tạo</t>
        </is>
      </c>
      <c r="C19" s="16" t="inlineStr">
        <is>
          <t>Mở từ FABi</t>
        </is>
      </c>
      <c r="D19" s="16" t="inlineStr">
        <is>
          <t>/khoi-tao-fabi</t>
        </is>
      </c>
      <c r="E19" s="16" t="inlineStr">
        <is>
          <t>Ràng buộc</t>
        </is>
      </c>
      <c r="F19" s="16" t="inlineStr">
        <is>
          <t>Phải chọn ít nhất 1 cửa hàng dùng thử</t>
        </is>
      </c>
      <c r="G19" s="16" t="inlineStr">
        <is>
          <t>Đã đăng nhập</t>
        </is>
      </c>
      <c r="H19" s="16" t="inlineStr">
        <is>
          <t>1. Ở màn chọn cửa hàng bỏ chọn hết
2. Bấm Dùng thử</t>
        </is>
      </c>
      <c r="I19" s="16" t="inlineStr">
        <is>
          <t>Mặc định chọn hết; bỏ hết thì không bấm được Dùng thử</t>
        </is>
      </c>
      <c r="J19" s="16" t="inlineStr">
        <is>
          <t>Trung bình</t>
        </is>
      </c>
      <c r="K19" s="17" t="n"/>
      <c r="L19" s="17" t="inlineStr">
        <is>
          <t>Chưa test</t>
        </is>
      </c>
      <c r="M19" s="17" t="n"/>
      <c r="N19" s="18" t="n"/>
      <c r="O19" s="17" t="n"/>
    </row>
    <row r="20">
      <c r="A20" s="16" t="inlineStr">
        <is>
          <t>W-KT-005</t>
        </is>
      </c>
      <c r="B20" s="16" t="inlineStr">
        <is>
          <t>Đăng nhập, khởi tạo</t>
        </is>
      </c>
      <c r="C20" s="16" t="inlineStr">
        <is>
          <t>Popup khởi tạo</t>
        </is>
      </c>
      <c r="D20" s="16" t="inlineStr">
        <is>
          <t>/app</t>
        </is>
      </c>
      <c r="E20" s="16" t="inlineStr">
        <is>
          <t>Ràng buộc</t>
        </is>
      </c>
      <c r="F20" s="16" t="inlineStr">
        <is>
          <t>Popup bắt buộc, không đóng được, nhớ tiến độ</t>
        </is>
      </c>
      <c r="G20" s="16" t="inlineStr">
        <is>
          <t>Vừa tạo đơn vị từ FABi</t>
        </is>
      </c>
      <c r="H20" s="16" t="inlineStr">
        <is>
          <t>1. Bấm ra ngoài popup, bấm Esc
2. Làm tới bước 2 rồi tải lại trang</t>
        </is>
      </c>
      <c r="I20" s="16" t="inlineStr">
        <is>
          <t>Popup không đóng. Tải lại vẫn ở bước 2</t>
        </is>
      </c>
      <c r="J20" s="16" t="inlineStr">
        <is>
          <t>Cao</t>
        </is>
      </c>
      <c r="K20" s="17" t="n"/>
      <c r="L20" s="17" t="inlineStr">
        <is>
          <t>Chưa test</t>
        </is>
      </c>
      <c r="M20" s="17" t="n"/>
      <c r="N20" s="18" t="n"/>
      <c r="O20" s="17" t="n"/>
    </row>
    <row r="21">
      <c r="A21" s="16" t="inlineStr">
        <is>
          <t>W-KT-006</t>
        </is>
      </c>
      <c r="B21" s="16" t="inlineStr">
        <is>
          <t>Đăng nhập, khởi tạo</t>
        </is>
      </c>
      <c r="C21" s="16" t="inlineStr">
        <is>
          <t>Popup khởi tạo › B1 Loại hình</t>
        </is>
      </c>
      <c r="D21" s="16" t="inlineStr">
        <is>
          <t>/app</t>
        </is>
      </c>
      <c r="E21" s="16" t="inlineStr">
        <is>
          <t>Chức năng</t>
        </is>
      </c>
      <c r="F21" s="16" t="inlineStr">
        <is>
          <t>Hộ kinh doanh: gợi ý nhóm theo doanh thu FABi</t>
        </is>
      </c>
      <c r="G21" s="16" t="inlineStr">
        <is>
          <t>Vừa tạo đơn vị từ FABi</t>
        </is>
      </c>
      <c r="H21" s="16" t="inlineStr">
        <is>
          <t>1. Chọn Hộ kinh doanh
2. Xem nhóm gợi ý
3. Lần lượt chọn nhóm 1, 2, 3, 4</t>
        </is>
      </c>
      <c r="I21" s="16" t="inlineStr">
        <is>
          <t>Gợi ý nhóm theo doanh thu FABi 12 tháng. Nhóm 1 (&lt;1 tỷ): không nộp GTGT, TNCN. Nhóm 2 (1–&lt;3 tỷ): chọn % doanh thu hoặc lợi nhuận 15%. Nhóm 3: lợi nhuận 17%. Nhóm 4: lợi nhuận 20%</t>
        </is>
      </c>
      <c r="J21" s="16" t="inlineStr">
        <is>
          <t>Cao</t>
        </is>
      </c>
      <c r="K21" s="17" t="n"/>
      <c r="L21" s="17" t="inlineStr">
        <is>
          <t>Chưa test</t>
        </is>
      </c>
      <c r="M21" s="17" t="n"/>
      <c r="N21" s="18" t="n"/>
      <c r="O21" s="17" t="n"/>
    </row>
    <row r="22">
      <c r="A22" s="16" t="inlineStr">
        <is>
          <t>W-KT-007</t>
        </is>
      </c>
      <c r="B22" s="16" t="inlineStr">
        <is>
          <t>Đăng nhập, khởi tạo</t>
        </is>
      </c>
      <c r="C22" s="16" t="inlineStr">
        <is>
          <t>Popup khởi tạo › B1 Loại hình</t>
        </is>
      </c>
      <c r="D22" s="16" t="inlineStr">
        <is>
          <t>/app</t>
        </is>
      </c>
      <c r="E22" s="16" t="inlineStr">
        <is>
          <t>Ràng buộc</t>
        </is>
      </c>
      <c r="F22" s="16" t="inlineStr">
        <is>
          <t>Cảnh báo khi kê khai thuế không có ở gói Standard</t>
        </is>
      </c>
      <c r="G22" s="16" t="inlineStr">
        <is>
          <t>Vừa tạo đơn vị từ FABi</t>
        </is>
      </c>
      <c r="H22" s="16" t="inlineStr">
        <is>
          <t>1. Chọn hộ kinh doanh nhóm 3 (hoặc nhóm 2 theo lợi nhuận)
2. Chọn doanh nghiệp tính theo doanh thu</t>
        </is>
      </c>
      <c r="I22" s="16" t="inlineStr">
        <is>
          <t>Bước 1 hiện cảnh báo kê khai thuế chưa có ở gói Standard, phần quản lý vẫn dùng đủ. Bước 2 không cảnh báo, dùng TT58</t>
        </is>
      </c>
      <c r="J22" s="16" t="inlineStr">
        <is>
          <t>Trung bình</t>
        </is>
      </c>
      <c r="K22" s="17" t="n"/>
      <c r="L22" s="17" t="inlineStr">
        <is>
          <t>Chưa test</t>
        </is>
      </c>
      <c r="M22" s="17" t="n"/>
      <c r="N22" s="18" t="n"/>
      <c r="O22" s="17" t="n"/>
    </row>
    <row r="23">
      <c r="A23" s="16" t="inlineStr">
        <is>
          <t>W-KT-008</t>
        </is>
      </c>
      <c r="B23" s="16" t="inlineStr">
        <is>
          <t>Đăng nhập, khởi tạo</t>
        </is>
      </c>
      <c r="C23" s="16" t="inlineStr">
        <is>
          <t>Popup khởi tạo › B2 Thông tin</t>
        </is>
      </c>
      <c r="D23" s="16" t="inlineStr">
        <is>
          <t>/app</t>
        </is>
      </c>
      <c r="E23" s="16" t="inlineStr">
        <is>
          <t>Ràng buộc</t>
        </is>
      </c>
      <c r="F23" s="16" t="inlineStr">
        <is>
          <t>Bắt buộc nhập theo loại hình</t>
        </is>
      </c>
      <c r="G23" s="16" t="inlineStr">
        <is>
          <t>Vừa tạo đơn vị từ FABi</t>
        </is>
      </c>
      <c r="H23" s="16" t="inlineStr">
        <is>
          <t>1. Doanh nghiệp: để trống mã số thuế, bấm Tiếp tục
2. Hộ kinh doanh: để trống CCCD/MST
3. Để trống tên đơn vị</t>
        </is>
      </c>
      <c r="I23" s="16" t="inlineStr">
        <is>
          <t>Doanh nghiệp thiếu MST thì báo lỗi. Hộ kinh doanh không bắt buộc CCCD/MST. Tên trống thì không bấm được Tiếp tục</t>
        </is>
      </c>
      <c r="J23" s="16" t="inlineStr">
        <is>
          <t>Cao</t>
        </is>
      </c>
      <c r="K23" s="17" t="n"/>
      <c r="L23" s="17" t="inlineStr">
        <is>
          <t>Chưa test</t>
        </is>
      </c>
      <c r="M23" s="17" t="n"/>
      <c r="N23" s="18" t="n"/>
      <c r="O23" s="17" t="n"/>
    </row>
    <row r="24">
      <c r="A24" s="16" t="inlineStr">
        <is>
          <t>W-KT-009</t>
        </is>
      </c>
      <c r="B24" s="16" t="inlineStr">
        <is>
          <t>Đăng nhập, khởi tạo</t>
        </is>
      </c>
      <c r="C24" s="16" t="inlineStr">
        <is>
          <t>Popup khởi tạo › B2 Thông tin</t>
        </is>
      </c>
      <c r="D24" s="16" t="inlineStr">
        <is>
          <t>/app</t>
        </is>
      </c>
      <c r="E24" s="16" t="inlineStr">
        <is>
          <t>Chức năng</t>
        </is>
      </c>
      <c r="F24" s="16" t="inlineStr">
        <is>
          <t>Tra cứu MST, ngày đầu năm tài chính</t>
        </is>
      </c>
      <c r="G24" s="16" t="inlineStr">
        <is>
          <t>Vừa tạo đơn vị từ FABi</t>
        </is>
      </c>
      <c r="H24" s="16" t="inlineStr">
        <is>
          <t>1. Nhập MST, bấm Tra cứu
2. Mở ô Ngày đầu năm tài chính</t>
        </is>
      </c>
      <c r="I24" s="16" t="inlineStr">
        <is>
          <t>Tự điền tên, địa chỉ. Ngày đầu năm chỉ có 01/01, 01/04, 01/07, 01/10</t>
        </is>
      </c>
      <c r="J24" s="16" t="inlineStr">
        <is>
          <t>Trung bình</t>
        </is>
      </c>
      <c r="K24" s="17" t="n"/>
      <c r="L24" s="17" t="inlineStr">
        <is>
          <t>Chưa test</t>
        </is>
      </c>
      <c r="M24" s="17" t="n"/>
      <c r="N24" s="18" t="n"/>
      <c r="O24" s="17" t="n"/>
    </row>
    <row r="25">
      <c r="A25" s="16" t="inlineStr">
        <is>
          <t>W-KT-010</t>
        </is>
      </c>
      <c r="B25" s="16" t="inlineStr">
        <is>
          <t>Đăng nhập, khởi tạo</t>
        </is>
      </c>
      <c r="C25" s="16" t="inlineStr">
        <is>
          <t>Popup khởi tạo › B3 Cửa hàng</t>
        </is>
      </c>
      <c r="D25" s="16" t="inlineStr">
        <is>
          <t>/app</t>
        </is>
      </c>
      <c r="E25" s="16" t="inlineStr">
        <is>
          <t>Ràng buộc</t>
        </is>
      </c>
      <c r="F25" s="16" t="inlineStr">
        <is>
          <t>Chọn cửa hàng lên sổ, cửa hàng chính</t>
        </is>
      </c>
      <c r="G25" s="16" t="inlineStr">
        <is>
          <t>Vừa tạo đơn vị từ FABi</t>
        </is>
      </c>
      <c r="H25" s="16" t="inlineStr">
        <is>
          <t>1. Bỏ chọn hết cửa hàng
2. Hộ kinh doanh không chọn cửa hàng chính
3. Chọn kênh online, sàn đã khấu trừ thuế</t>
        </is>
      </c>
      <c r="I25" s="16" t="inlineStr">
        <is>
          <t>Phải chọn ít nhất 1 cửa hàng; hộ kinh doanh bắt buộc cửa hàng chính; chọn được GrabFood, ShopeeFood, Be</t>
        </is>
      </c>
      <c r="J25" s="16" t="inlineStr">
        <is>
          <t>Cao</t>
        </is>
      </c>
      <c r="K25" s="17" t="n"/>
      <c r="L25" s="17" t="inlineStr">
        <is>
          <t>Chưa test</t>
        </is>
      </c>
      <c r="M25" s="17" t="n"/>
      <c r="N25" s="18" t="n"/>
      <c r="O25" s="17" t="n"/>
    </row>
    <row r="26">
      <c r="A26" s="16" t="inlineStr">
        <is>
          <t>W-KT-011</t>
        </is>
      </c>
      <c r="B26" s="16" t="inlineStr">
        <is>
          <t>Đăng nhập, khởi tạo</t>
        </is>
      </c>
      <c r="C26" s="16" t="inlineStr">
        <is>
          <t>Popup khởi tạo › Lấy dữ liệu</t>
        </is>
      </c>
      <c r="D26" s="16" t="inlineStr">
        <is>
          <t>/app</t>
        </is>
      </c>
      <c r="E26" s="16" t="inlineStr">
        <is>
          <t>Tích hợp</t>
        </is>
      </c>
      <c r="F26" s="16" t="inlineStr">
        <is>
          <t>Lấy dữ liệu FABi và bắt đầu làm việc</t>
        </is>
      </c>
      <c r="G26" s="16" t="inlineStr">
        <is>
          <t>Vừa tạo đơn vị từ FABi</t>
        </is>
      </c>
      <c r="H26" s="16" t="inlineStr">
        <is>
          <t>1. Bấm Tiếp tục ở bước 3
2. Theo dõi danh sách việc
3. Bấm Bắt đầu làm việc</t>
        </is>
      </c>
      <c r="I26" s="16" t="inlineStr">
        <is>
          <t>4 việc có trạng thái: danh mục món và kênh; doanh thu; thu chi; ghi sổ. Xong thì lưu loại hình, nhóm, cách tính thuế, cửa hàng chính, kênh; đặt gói, chế độ, ngày đầu năm; chuyển sang Danh mục</t>
        </is>
      </c>
      <c r="J26" s="16" t="inlineStr">
        <is>
          <t>Cao</t>
        </is>
      </c>
      <c r="K26" s="17" t="n"/>
      <c r="L26" s="17" t="inlineStr">
        <is>
          <t>Chưa test</t>
        </is>
      </c>
      <c r="M26" s="17" t="n"/>
      <c r="N26" s="18" t="n"/>
      <c r="O26" s="17" t="n"/>
    </row>
    <row r="27">
      <c r="A27" s="16" t="inlineStr">
        <is>
          <t>W-KT-012</t>
        </is>
      </c>
      <c r="B27" s="16" t="inlineStr">
        <is>
          <t>Đăng nhập, khởi tạo</t>
        </is>
      </c>
      <c r="C27" s="16" t="inlineStr">
        <is>
          <t>Popup khởi tạo › Lấy dữ liệu</t>
        </is>
      </c>
      <c r="D27" s="16" t="inlineStr">
        <is>
          <t>/app/ban-hang/3-1-1</t>
        </is>
      </c>
      <c r="E27" s="16" t="inlineStr">
        <is>
          <t>Tích hợp</t>
        </is>
      </c>
      <c r="F27" s="16" t="inlineStr">
        <is>
          <t>Doanh thu FABi vào Xuất bán POS</t>
        </is>
      </c>
      <c r="G27" s="16" t="inlineStr">
        <is>
          <t>Vừa khởi tạo xong</t>
        </is>
      </c>
      <c r="H27" s="16" t="inlineStr">
        <is>
          <t>1. Khởi tạo xong
2. Mở Xuất bán POS</t>
        </is>
      </c>
      <c r="I27" s="16" t="inlineStr">
        <is>
          <t>Mỗi đơn FABi từ ngày đầu năm tài chính thành một chứng từ Xuất bán POS</t>
        </is>
      </c>
      <c r="J27" s="16" t="inlineStr">
        <is>
          <t>Trung bình</t>
        </is>
      </c>
      <c r="K27" s="17" t="n"/>
      <c r="L27" s="17" t="inlineStr">
        <is>
          <t>Chưa test</t>
        </is>
      </c>
      <c r="M27" s="17" t="n"/>
      <c r="N27" s="18" t="n"/>
      <c r="O27" s="17" t="n"/>
    </row>
    <row r="28">
      <c r="A28" s="16" t="inlineStr">
        <is>
          <t>W-TC-001</t>
        </is>
      </c>
      <c r="B28" s="16" t="inlineStr">
        <is>
          <t>Trang chủ</t>
        </is>
      </c>
      <c r="C28" s="16" t="inlineStr">
        <is>
          <t>Tổng quan</t>
        </is>
      </c>
      <c r="D28" s="16" t="inlineStr">
        <is>
          <t>/app/trang-chu/tong-quan</t>
        </is>
      </c>
      <c r="E28" s="16" t="inlineStr">
        <is>
          <t>Hiển thị</t>
        </is>
      </c>
      <c r="F28" s="16" t="inlineStr">
        <is>
          <t>Bố cục trang chủ gói Standard</t>
        </is>
      </c>
      <c r="G28" s="16" t="inlineStr">
        <is>
          <t>Đăng nhập, đơn vị Phố Mây gói Standard, hộ kinh doanh TT152</t>
        </is>
      </c>
      <c r="H28" s="16" t="inlineStr">
        <is>
          <t>1. Mở Tổng quan</t>
        </is>
      </c>
      <c r="I28" s="16" t="inlineStr">
        <is>
          <t>Một khối lớn: thanh đầu (nhắc khoá sổ, 5 thao tác nhanh), Kết quả kinh doanh, Quỹ tiền, Mua hàng và công nợ, Hao hụt kiểm kê</t>
        </is>
      </c>
      <c r="J28" s="16" t="inlineStr">
        <is>
          <t>Cao</t>
        </is>
      </c>
      <c r="K28" s="17" t="n"/>
      <c r="L28" s="17" t="inlineStr">
        <is>
          <t>Chưa test</t>
        </is>
      </c>
      <c r="M28" s="17" t="n"/>
      <c r="N28" s="18" t="n"/>
      <c r="O28" s="17" t="n"/>
    </row>
    <row r="29">
      <c r="A29" s="16" t="inlineStr">
        <is>
          <t>W-TC-002</t>
        </is>
      </c>
      <c r="B29" s="16" t="inlineStr">
        <is>
          <t>Trang chủ</t>
        </is>
      </c>
      <c r="C29" s="16" t="inlineStr">
        <is>
          <t>Tổng quan</t>
        </is>
      </c>
      <c r="D29" s="16" t="inlineStr">
        <is>
          <t>/app/trang-chu/tong-quan</t>
        </is>
      </c>
      <c r="E29" s="16" t="inlineStr">
        <is>
          <t>Chức năng</t>
        </is>
      </c>
      <c r="F29" s="16" t="inlineStr">
        <is>
          <t>Đổi Năm, Tháng đổi luôn tháng làm việc</t>
        </is>
      </c>
      <c r="G29" s="16" t="inlineStr">
        <is>
          <t>Đăng nhập, đơn vị Phố Mây gói Standard, hộ kinh doanh TT152</t>
        </is>
      </c>
      <c r="H29" s="16" t="inlineStr">
        <is>
          <t>1. Chọn tháng 9/2026
2. Mở danh sách phiếu thu chi, một báo cáo, Chi phí phân bổ
3. Đóng tab rồi mở lại</t>
        </is>
      </c>
      <c r="I29" s="16" t="inlineStr">
        <is>
          <t>Bước 2 mặc định kỳ tháng 9/2026. Bước 3 về tháng mặc định</t>
        </is>
      </c>
      <c r="J29" s="16" t="inlineStr">
        <is>
          <t>Cao</t>
        </is>
      </c>
      <c r="K29" s="17" t="n"/>
      <c r="L29" s="17" t="inlineStr">
        <is>
          <t>Chưa test</t>
        </is>
      </c>
      <c r="M29" s="17" t="n"/>
      <c r="N29" s="18" t="n"/>
      <c r="O29" s="17" t="n"/>
    </row>
    <row r="30">
      <c r="A30" s="16" t="inlineStr">
        <is>
          <t>W-TC-003</t>
        </is>
      </c>
      <c r="B30" s="16" t="inlineStr">
        <is>
          <t>Trang chủ</t>
        </is>
      </c>
      <c r="C30" s="16" t="inlineStr">
        <is>
          <t>Tổng quan</t>
        </is>
      </c>
      <c r="D30" s="16" t="inlineStr">
        <is>
          <t>/app/trang-chu/tong-quan</t>
        </is>
      </c>
      <c r="E30" s="16" t="inlineStr">
        <is>
          <t>Chức năng</t>
        </is>
      </c>
      <c r="F30" s="16" t="inlineStr">
        <is>
          <t>Nhắc khoá sổ</t>
        </is>
      </c>
      <c r="G30" s="16" t="inlineStr">
        <is>
          <t>Đăng nhập, đơn vị Phố Mây gói Standard, hộ kinh doanh TT152</t>
        </is>
      </c>
      <c r="H30" s="16" t="inlineStr">
        <is>
          <t>1. Để tháng trước chưa khoá
2. Bấm dòng nhắc
3. Khoá tháng trước rồi về trang chủ</t>
        </is>
      </c>
      <c r="I30" s="16" t="inlineStr">
        <is>
          <t>Hiện nhắc, bấm sang Hệ thống › Khoá sổ. Khoá xong thì hết nhắc</t>
        </is>
      </c>
      <c r="J30" s="16" t="inlineStr">
        <is>
          <t>Trung bình</t>
        </is>
      </c>
      <c r="K30" s="17" t="n"/>
      <c r="L30" s="17" t="inlineStr">
        <is>
          <t>Chưa test</t>
        </is>
      </c>
      <c r="M30" s="17" t="n"/>
      <c r="N30" s="18" t="n"/>
      <c r="O30" s="17" t="n"/>
    </row>
    <row r="31">
      <c r="A31" s="16" t="inlineStr">
        <is>
          <t>W-TC-004</t>
        </is>
      </c>
      <c r="B31" s="16" t="inlineStr">
        <is>
          <t>Trang chủ</t>
        </is>
      </c>
      <c r="C31" s="16" t="inlineStr">
        <is>
          <t>Tổng quan</t>
        </is>
      </c>
      <c r="D31" s="16" t="inlineStr">
        <is>
          <t>/app/trang-chu/tong-quan</t>
        </is>
      </c>
      <c r="E31" s="16" t="inlineStr">
        <is>
          <t>Chức năng</t>
        </is>
      </c>
      <c r="F31" s="16" t="inlineStr">
        <is>
          <t>5 thao tác nhanh mở đúng form</t>
        </is>
      </c>
      <c r="G31" s="16" t="inlineStr">
        <is>
          <t>Đăng nhập, đơn vị Phố Mây gói Standard, hộ kinh doanh TT152</t>
        </is>
      </c>
      <c r="H31" s="16" t="inlineStr">
        <is>
          <t>1. Lần lượt bấm Thu tiền, Chi tiền, Mua hàng, Kiểm kê, Kê khai thuế</t>
        </is>
      </c>
      <c r="I31" s="16" t="inlineStr">
        <is>
          <t>Mở đúng form/màn tương ứng; cửa hàng là Tất cả thì hỏi chọn cửa hàng trước khi lập phiếu</t>
        </is>
      </c>
      <c r="J31" s="16" t="inlineStr">
        <is>
          <t>Trung bình</t>
        </is>
      </c>
      <c r="K31" s="17" t="n"/>
      <c r="L31" s="17" t="inlineStr">
        <is>
          <t>Chưa test</t>
        </is>
      </c>
      <c r="M31" s="17" t="n"/>
      <c r="N31" s="18" t="n"/>
      <c r="O31" s="17" t="n"/>
    </row>
    <row r="32">
      <c r="A32" s="16" t="inlineStr">
        <is>
          <t>W-TC-005</t>
        </is>
      </c>
      <c r="B32" s="16" t="inlineStr">
        <is>
          <t>Trang chủ</t>
        </is>
      </c>
      <c r="C32" s="16" t="inlineStr">
        <is>
          <t>Tổng quan › KQKD</t>
        </is>
      </c>
      <c r="D32" s="16" t="inlineStr">
        <is>
          <t>/app/trang-chu/tong-quan</t>
        </is>
      </c>
      <c r="E32" s="16" t="inlineStr">
        <is>
          <t>Tích hợp</t>
        </is>
      </c>
      <c r="F32" s="16" t="inlineStr">
        <is>
          <t>Công thức lợi nhuận</t>
        </is>
      </c>
      <c r="G32" s="16" t="inlineStr">
        <is>
          <t>Đăng nhập, đơn vị Phố Mây gói Standard, hộ kinh doanh TT152</t>
        </is>
      </c>
      <c r="H32" s="16" t="inlineStr">
        <is>
          <t>1. Chọn một tháng có dữ liệu
2. Đọc Doanh thu thuần, Chi phí NVL, Chi phí hoạt động, Chi phí phân bổ, Lợi nhuận, Biên</t>
        </is>
      </c>
      <c r="I32" s="16" t="inlineStr">
        <is>
          <t>Lợi nhuận = Doanh thu thuần − NVL − Hoạt động − Phân bổ. Biên = Lợi nhuận / Doanh thu</t>
        </is>
      </c>
      <c r="J32" s="16" t="inlineStr">
        <is>
          <t>Cao</t>
        </is>
      </c>
      <c r="K32" s="17" t="n"/>
      <c r="L32" s="17" t="inlineStr">
        <is>
          <t>Chưa test</t>
        </is>
      </c>
      <c r="M32" s="17" t="n"/>
      <c r="N32" s="18" t="n"/>
      <c r="O32" s="17" t="n"/>
    </row>
    <row r="33">
      <c r="A33" s="16" t="inlineStr">
        <is>
          <t>W-TC-006</t>
        </is>
      </c>
      <c r="B33" s="16" t="inlineStr">
        <is>
          <t>Trang chủ</t>
        </is>
      </c>
      <c r="C33" s="16" t="inlineStr">
        <is>
          <t>Tổng quan › KQKD</t>
        </is>
      </c>
      <c r="D33" s="16" t="inlineStr">
        <is>
          <t>/app/trang-chu/tong-quan</t>
        </is>
      </c>
      <c r="E33" s="16" t="inlineStr">
        <is>
          <t>Tích hợp</t>
        </is>
      </c>
      <c r="F33" s="16" t="inlineStr">
        <is>
          <t>Số liệu khớp màn chi tiết</t>
        </is>
      </c>
      <c r="G33" s="16" t="inlineStr">
        <is>
          <t>Đăng nhập, đơn vị Phố Mây gói Standard, hộ kinh doanh TT152</t>
        </is>
      </c>
      <c r="H33" s="16" t="inlineStr">
        <is>
          <t>1. Bấm Doanh thu thuần → so với KQKD 10.2.3
2. Bấm Chi phí NVL → màn Chi phí NVL
3. Bấm Chi phí hoạt động → màn Chi phí hoạt động
4. Bấm Chi phí phân bổ → 8.1.1</t>
        </is>
      </c>
      <c r="I33" s="16" t="inlineStr">
        <is>
          <t>Mỗi dòng mở đúng màn, số tiền màn chi tiết bằng số trên trang chủ cùng tháng, cùng cửa hàng</t>
        </is>
      </c>
      <c r="J33" s="16" t="inlineStr">
        <is>
          <t>Cao</t>
        </is>
      </c>
      <c r="K33" s="17" t="n"/>
      <c r="L33" s="17" t="inlineStr">
        <is>
          <t>Chưa test</t>
        </is>
      </c>
      <c r="M33" s="17" t="n"/>
      <c r="N33" s="18" t="n"/>
      <c r="O33" s="17" t="n"/>
    </row>
    <row r="34">
      <c r="A34" s="16" t="inlineStr">
        <is>
          <t>W-TC-007</t>
        </is>
      </c>
      <c r="B34" s="16" t="inlineStr">
        <is>
          <t>Trang chủ</t>
        </is>
      </c>
      <c r="C34" s="16" t="inlineStr">
        <is>
          <t>Tổng quan › KQKD</t>
        </is>
      </c>
      <c r="D34" s="16" t="inlineStr">
        <is>
          <t>/app/trang-chu/tong-quan</t>
        </is>
      </c>
      <c r="E34" s="16" t="inlineStr">
        <is>
          <t>Hiển thị</t>
        </is>
      </c>
      <c r="F34" s="16" t="inlineStr">
        <is>
          <t>Biểu đồ hiệu quả 13 tháng</t>
        </is>
      </c>
      <c r="G34" s="16" t="inlineStr">
        <is>
          <t>Đăng nhập, đơn vị Phố Mây gói Standard, hộ kinh doanh TT152</t>
        </is>
      </c>
      <c r="H34" s="16" t="inlineStr">
        <is>
          <t>1. Xem biểu đồ</t>
        </is>
      </c>
      <c r="I34" s="16" t="inlineStr">
        <is>
          <t>Đủ 13 tháng; tháng 7–10/2026 là số thật, tháng trước là số mẫu</t>
        </is>
      </c>
      <c r="J34" s="16" t="inlineStr">
        <is>
          <t>Thấp</t>
        </is>
      </c>
      <c r="K34" s="17" t="n"/>
      <c r="L34" s="17" t="inlineStr">
        <is>
          <t>Chưa test</t>
        </is>
      </c>
      <c r="M34" s="17" t="n"/>
      <c r="N34" s="18" t="n"/>
      <c r="O34" s="17" t="n"/>
    </row>
    <row r="35">
      <c r="A35" s="16" t="inlineStr">
        <is>
          <t>W-TC-008</t>
        </is>
      </c>
      <c r="B35" s="16" t="inlineStr">
        <is>
          <t>Trang chủ</t>
        </is>
      </c>
      <c r="C35" s="16" t="inlineStr">
        <is>
          <t>Tổng quan › Quỹ tiền</t>
        </is>
      </c>
      <c r="D35" s="16" t="inlineStr">
        <is>
          <t>/app/trang-chu/tong-quan</t>
        </is>
      </c>
      <c r="E35" s="16" t="inlineStr">
        <is>
          <t>Tích hợp</t>
        </is>
      </c>
      <c r="F35" s="16" t="inlineStr">
        <is>
          <t>Tồn quỹ và chi tiết một quỹ</t>
        </is>
      </c>
      <c r="G35" s="16" t="inlineStr">
        <is>
          <t>Đăng nhập, đơn vị Phố Mây gói Standard, hộ kinh doanh TT152</t>
        </is>
      </c>
      <c r="H35" s="16" t="inlineStr">
        <is>
          <t>1. Đọc Tồn quỹ, Thu, Chi trong tháng
2. Bấm một quỹ trên vòng tròn
3. Bấm Lịch sử thu chi</t>
        </is>
      </c>
      <c r="I35" s="16" t="inlineStr">
        <is>
          <t>Tồn quỹ = tổng số dư cuối quỹ tiền mặt các cửa hàng đang xem + mọi tài khoản ngân hàng. Chi tiết quỹ: Tồn đầu + Thu − Chi = Tồn cuối, số dư từng ngày, 3 giao dịch gần nhất. Vòng tròn chỉ quỹ dương</t>
        </is>
      </c>
      <c r="J35" s="16" t="inlineStr">
        <is>
          <t>Cao</t>
        </is>
      </c>
      <c r="K35" s="17" t="n"/>
      <c r="L35" s="17" t="inlineStr">
        <is>
          <t>Chưa test</t>
        </is>
      </c>
      <c r="M35" s="17" t="n"/>
      <c r="N35" s="18" t="n"/>
      <c r="O35" s="17" t="n"/>
    </row>
    <row r="36">
      <c r="A36" s="16" t="inlineStr">
        <is>
          <t>W-TC-009</t>
        </is>
      </c>
      <c r="B36" s="16" t="inlineStr">
        <is>
          <t>Trang chủ</t>
        </is>
      </c>
      <c r="C36" s="16" t="inlineStr">
        <is>
          <t>Tổng quan › Quỹ tiền</t>
        </is>
      </c>
      <c r="D36" s="16" t="inlineStr">
        <is>
          <t>/app/trang-chu/tong-quan</t>
        </is>
      </c>
      <c r="E36" s="16" t="inlineStr">
        <is>
          <t>Chức năng</t>
        </is>
      </c>
      <c r="F36" s="16" t="inlineStr">
        <is>
          <t>Chưa có quỹ, menu Xem sổ</t>
        </is>
      </c>
      <c r="G36" s="16" t="inlineStr">
        <is>
          <t>Đăng nhập, đơn vị Phố Mây gói Standard, hộ kinh doanh TT152</t>
        </is>
      </c>
      <c r="H36" s="16" t="inlineStr">
        <is>
          <t>1. Đơn vị chưa có quỹ: xem khối
2. Mở menu Xem sổ</t>
        </is>
      </c>
      <c r="I36" s="16" t="inlineStr">
        <is>
          <t>Có nút Tạo quỹ. Menu có Sổ quỹ tiền mặt 2.2.1, Sổ ngân hàng 2.2.3</t>
        </is>
      </c>
      <c r="J36" s="16" t="inlineStr">
        <is>
          <t>Trung bình</t>
        </is>
      </c>
      <c r="K36" s="17" t="n"/>
      <c r="L36" s="17" t="inlineStr">
        <is>
          <t>Chưa test</t>
        </is>
      </c>
      <c r="M36" s="17" t="n"/>
      <c r="N36" s="18" t="n"/>
      <c r="O36" s="17" t="n"/>
    </row>
    <row r="37">
      <c r="A37" s="16" t="inlineStr">
        <is>
          <t>W-TC-010</t>
        </is>
      </c>
      <c r="B37" s="16" t="inlineStr">
        <is>
          <t>Trang chủ</t>
        </is>
      </c>
      <c r="C37" s="16" t="inlineStr">
        <is>
          <t>Tổng quan › Mua hàng</t>
        </is>
      </c>
      <c r="D37" s="16" t="inlineStr">
        <is>
          <t>/app/trang-chu/tong-quan</t>
        </is>
      </c>
      <c r="E37" s="16" t="inlineStr">
        <is>
          <t>Tích hợp</t>
        </is>
      </c>
      <c r="F37" s="16" t="inlineStr">
        <is>
          <t>Giá trị mua và công nợ nhà cung cấp</t>
        </is>
      </c>
      <c r="G37" s="16" t="inlineStr">
        <is>
          <t>Đăng nhập, đơn vị Phố Mây gói Standard, hộ kinh doanh TT152</t>
        </is>
      </c>
      <c r="H37" s="16" t="inlineStr">
        <is>
          <t>1. Đọc giá trị mua, số phiếu, top 3 mặt hàng
2. Đọc Nợ đầu, Mua nợ, Trả hàng, Thanh toán, Nợ cuối
3. So với báo cáo 4.2.3 cùng kỳ</t>
        </is>
      </c>
      <c r="I37" s="16" t="inlineStr">
        <is>
          <t>Giá trị mua = tổng tiền phiếu 4.1.1 gồm thuế. Nợ đầu + Mua nợ − Trả hàng − Thanh toán = Nợ cuối, khớp dòng tổng 4.2.3. Không có hạn thanh toán</t>
        </is>
      </c>
      <c r="J37" s="16" t="inlineStr">
        <is>
          <t>Cao</t>
        </is>
      </c>
      <c r="K37" s="17" t="n"/>
      <c r="L37" s="17" t="inlineStr">
        <is>
          <t>Chưa test</t>
        </is>
      </c>
      <c r="M37" s="17" t="n"/>
      <c r="N37" s="18" t="n"/>
      <c r="O37" s="17" t="n"/>
    </row>
    <row r="38">
      <c r="A38" s="16" t="inlineStr">
        <is>
          <t>W-TC-011</t>
        </is>
      </c>
      <c r="B38" s="16" t="inlineStr">
        <is>
          <t>Trang chủ</t>
        </is>
      </c>
      <c r="C38" s="16" t="inlineStr">
        <is>
          <t>Tổng quan › Mua hàng</t>
        </is>
      </c>
      <c r="D38" s="16" t="inlineStr">
        <is>
          <t>/app/trang-chu/tong-quan</t>
        </is>
      </c>
      <c r="E38" s="16" t="inlineStr">
        <is>
          <t>Chức năng</t>
        </is>
      </c>
      <c r="F38" s="16" t="inlineStr">
        <is>
          <t>Nút Tạo phiếu mua, Thanh toán NCC</t>
        </is>
      </c>
      <c r="G38" s="16" t="inlineStr">
        <is>
          <t>Đăng nhập, đơn vị Phố Mây gói Standard, hộ kinh doanh TT152</t>
        </is>
      </c>
      <c r="H38" s="16" t="inlineStr">
        <is>
          <t>1. Bấm Tạo phiếu mua hàng
2. Bấm Thanh toán nhà cung cấp</t>
        </is>
      </c>
      <c r="I38" s="16" t="inlineStr">
        <is>
          <t>Mở form 4.1.1; mở phiếu chi lý do Thanh toán công nợ nhà cung cấp</t>
        </is>
      </c>
      <c r="J38" s="16" t="inlineStr">
        <is>
          <t>Trung bình</t>
        </is>
      </c>
      <c r="K38" s="17" t="n"/>
      <c r="L38" s="17" t="inlineStr">
        <is>
          <t>Chưa test</t>
        </is>
      </c>
      <c r="M38" s="17" t="n"/>
      <c r="N38" s="18" t="n"/>
      <c r="O38" s="17" t="n"/>
    </row>
    <row r="39">
      <c r="A39" s="16" t="inlineStr">
        <is>
          <t>W-TC-012</t>
        </is>
      </c>
      <c r="B39" s="16" t="inlineStr">
        <is>
          <t>Trang chủ</t>
        </is>
      </c>
      <c r="C39" s="16" t="inlineStr">
        <is>
          <t>Tổng quan › Hao hụt kiểm kê</t>
        </is>
      </c>
      <c r="D39" s="16" t="inlineStr">
        <is>
          <t>/app/trang-chu/tong-quan</t>
        </is>
      </c>
      <c r="E39" s="16" t="inlineStr">
        <is>
          <t>Tích hợp</t>
        </is>
      </c>
      <c r="F39" s="16" t="inlineStr">
        <is>
          <t>Hao hụt theo số lượng</t>
        </is>
      </c>
      <c r="G39" s="16" t="inlineStr">
        <is>
          <t>Đăng nhập, đơn vị Phố Mây gói Standard, hộ kinh doanh TT152</t>
        </is>
      </c>
      <c r="H39" s="16" t="inlineStr">
        <is>
          <t>1. Có phiếu kiểm kê trong tháng
2. Đọc khối Hao hụt</t>
        </is>
      </c>
      <c r="I39" s="16" t="inlineStr">
        <is>
          <t>Chỉ số lượng, không có tiền. Lệch = tồn thực tế − tồn hệ thống. Có số mặt hàng thiếu, thừa, đã kiểm; tiến độ cửa hàng (chưa kiểm lên đầu); top 3 thiếu, top 3 thừa</t>
        </is>
      </c>
      <c r="J39" s="16" t="inlineStr">
        <is>
          <t>Trung bình</t>
        </is>
      </c>
      <c r="K39" s="17" t="n"/>
      <c r="L39" s="17" t="inlineStr">
        <is>
          <t>Chưa test</t>
        </is>
      </c>
      <c r="M39" s="17" t="n"/>
      <c r="N39" s="18" t="n"/>
      <c r="O39" s="17" t="n"/>
    </row>
    <row r="40">
      <c r="A40" s="16" t="inlineStr">
        <is>
          <t>W-TC-013</t>
        </is>
      </c>
      <c r="B40" s="16" t="inlineStr">
        <is>
          <t>Trang chủ</t>
        </is>
      </c>
      <c r="C40" s="16" t="inlineStr">
        <is>
          <t>Tổng quan › Hao hụt kiểm kê</t>
        </is>
      </c>
      <c r="D40" s="16" t="inlineStr">
        <is>
          <t>/app/trang-chu/tong-quan</t>
        </is>
      </c>
      <c r="E40" s="16" t="inlineStr">
        <is>
          <t>Chức năng</t>
        </is>
      </c>
      <c r="F40" s="16" t="inlineStr">
        <is>
          <t>Nút Kiểm kê ngay, link báo cáo</t>
        </is>
      </c>
      <c r="G40" s="16" t="inlineStr">
        <is>
          <t>Đăng nhập, đơn vị Phố Mây gói Standard, hộ kinh doanh TT152</t>
        </is>
      </c>
      <c r="H40" s="16" t="inlineStr">
        <is>
          <t>1. Bấm Kiểm kê ngay
2. Bấm Báo cáo kiểm kê</t>
        </is>
      </c>
      <c r="I40" s="16" t="inlineStr">
        <is>
          <t>Mở form phiếu kiểm kê; mở Báo cáo kiểm kê 5.2.15</t>
        </is>
      </c>
      <c r="J40" s="16" t="inlineStr">
        <is>
          <t>Trung bình</t>
        </is>
      </c>
      <c r="K40" s="17" t="n"/>
      <c r="L40" s="17" t="inlineStr">
        <is>
          <t>Chưa test</t>
        </is>
      </c>
      <c r="M40" s="17" t="n"/>
      <c r="N40" s="18" t="n"/>
      <c r="O40" s="17" t="n"/>
    </row>
    <row r="41">
      <c r="A41" s="16" t="inlineStr">
        <is>
          <t>W-TC-014</t>
        </is>
      </c>
      <c r="B41" s="16" t="inlineStr">
        <is>
          <t>Trang chủ</t>
        </is>
      </c>
      <c r="C41" s="16" t="inlineStr">
        <is>
          <t>Chi phí hoạt động</t>
        </is>
      </c>
      <c r="D41" s="16" t="inlineStr">
        <is>
          <t>/app/trang-chu/chi-phi-thang</t>
        </is>
      </c>
      <c r="E41" s="16" t="inlineStr">
        <is>
          <t>Chức năng</t>
        </is>
      </c>
      <c r="F41" s="16" t="inlineStr">
        <is>
          <t>Bảng chi phí theo lý do</t>
        </is>
      </c>
      <c r="G41" s="16" t="inlineStr">
        <is>
          <t>Đăng nhập, đơn vị Phố Mây gói Standard, hộ kinh doanh TT152</t>
        </is>
      </c>
      <c r="H41" s="16" t="inlineStr">
        <is>
          <t>1. Mở màn từ trang chủ
2. Bấm một dòng lý do
3. Bấm số phiếu</t>
        </is>
      </c>
      <c r="I41" s="16" t="inlineStr">
        <is>
          <t>Mỗi lý do chi phí một dòng: số phiếu, tiền mặt, ngân hàng, % trên tổng. Bấm dòng xổ danh sách phiếu, bấm số phiếu mở phiếu</t>
        </is>
      </c>
      <c r="J41" s="16" t="inlineStr">
        <is>
          <t>Cao</t>
        </is>
      </c>
      <c r="K41" s="17" t="n"/>
      <c r="L41" s="17" t="inlineStr">
        <is>
          <t>Chưa test</t>
        </is>
      </c>
      <c r="M41" s="17" t="n"/>
      <c r="N41" s="18" t="n"/>
      <c r="O41" s="17" t="n"/>
    </row>
    <row r="42">
      <c r="A42" s="16" t="inlineStr">
        <is>
          <t>W-TC-015</t>
        </is>
      </c>
      <c r="B42" s="16" t="inlineStr">
        <is>
          <t>Trang chủ</t>
        </is>
      </c>
      <c r="C42" s="16" t="inlineStr">
        <is>
          <t>Chi phí hoạt động</t>
        </is>
      </c>
      <c r="D42" s="16" t="inlineStr">
        <is>
          <t>/app/trang-chu/chi-phi-thang</t>
        </is>
      </c>
      <c r="E42" s="16" t="inlineStr">
        <is>
          <t>Tích hợp</t>
        </is>
      </c>
      <c r="F42" s="16" t="inlineStr">
        <is>
          <t>Tính theo tháng ghi nhận, bỏ Chi phí chờ phân bổ</t>
        </is>
      </c>
      <c r="G42" s="16" t="inlineStr">
        <is>
          <t>Đăng nhập, đơn vị Phố Mây gói Standard, hộ kinh doanh TT152</t>
        </is>
      </c>
      <c r="H42" s="16" t="inlineStr">
        <is>
          <t>1. Lập phiếu chi ngày 05/10 tháng ghi nhận 09/2026
2. Lập phiếu chi lý do Chi phí chờ phân bổ
3. Xem màn tháng 9 và tháng 10</t>
        </is>
      </c>
      <c r="I42" s="16" t="inlineStr">
        <is>
          <t>Phiếu bước 1 tính vào tháng 9, không vào tháng 10. Phiếu bước 2 không có trong màn</t>
        </is>
      </c>
      <c r="J42" s="16" t="inlineStr">
        <is>
          <t>Cao</t>
        </is>
      </c>
      <c r="K42" s="17" t="n"/>
      <c r="L42" s="17" t="inlineStr">
        <is>
          <t>Chưa test</t>
        </is>
      </c>
      <c r="M42" s="17" t="n"/>
      <c r="N42" s="18" t="n"/>
      <c r="O42" s="17" t="n"/>
    </row>
    <row r="43">
      <c r="A43" s="16" t="inlineStr">
        <is>
          <t>W-TC-016</t>
        </is>
      </c>
      <c r="B43" s="16" t="inlineStr">
        <is>
          <t>Trang chủ</t>
        </is>
      </c>
      <c r="C43" s="16" t="inlineStr">
        <is>
          <t>Chi phí hoạt động</t>
        </is>
      </c>
      <c r="D43" s="16" t="inlineStr">
        <is>
          <t>/app/trang-chu/chi-phi-thang</t>
        </is>
      </c>
      <c r="E43" s="16" t="inlineStr">
        <is>
          <t>Chức năng</t>
        </is>
      </c>
      <c r="F43" s="16" t="inlineStr">
        <is>
          <t>Xuất Excel, Lập phiếu chi</t>
        </is>
      </c>
      <c r="G43" s="16" t="inlineStr">
        <is>
          <t>Đăng nhập, đơn vị Phố Mây gói Standard, hộ kinh doanh TT152</t>
        </is>
      </c>
      <c r="H43" s="16" t="inlineStr">
        <is>
          <t>1. Bấm Xuất Excel
2. Bấm Lập phiếu chi</t>
        </is>
      </c>
      <c r="I43" s="16" t="inlineStr">
        <is>
          <t>Tải file Excel đúng số liệu; mở form phiếu chi</t>
        </is>
      </c>
      <c r="J43" s="16" t="inlineStr">
        <is>
          <t>Thấp</t>
        </is>
      </c>
      <c r="K43" s="17" t="n"/>
      <c r="L43" s="17" t="inlineStr">
        <is>
          <t>Chưa test</t>
        </is>
      </c>
      <c r="M43" s="17" t="n"/>
      <c r="N43" s="18" t="n"/>
      <c r="O43" s="17" t="n"/>
    </row>
    <row r="44">
      <c r="A44" s="16" t="inlineStr">
        <is>
          <t>W-TC-017</t>
        </is>
      </c>
      <c r="B44" s="16" t="inlineStr">
        <is>
          <t>Trang chủ</t>
        </is>
      </c>
      <c r="C44" s="16" t="inlineStr">
        <is>
          <t>Chi phí NVL</t>
        </is>
      </c>
      <c r="D44" s="16" t="inlineStr">
        <is>
          <t>/app/trang-chu/chi-phi-nvl</t>
        </is>
      </c>
      <c r="E44" s="16" t="inlineStr">
        <is>
          <t>Hiển thị</t>
        </is>
      </c>
      <c r="F44" s="16" t="inlineStr">
        <is>
          <t>Xem tất cả cửa hàng</t>
        </is>
      </c>
      <c r="G44" s="16" t="inlineStr">
        <is>
          <t>Đăng nhập, đơn vị Phố Mây gói Standard, hộ kinh doanh TT152</t>
        </is>
      </c>
      <c r="H44" s="16" t="inlineStr">
        <is>
          <t>1. Chọn Tất cả cửa hàng
2. Mở Chi phí NVL</t>
        </is>
      </c>
      <c r="I44" s="16" t="inlineStr">
        <is>
          <t>Bảng mỗi cửa hàng: cách tính, doanh thu, NVL, tỷ lệ</t>
        </is>
      </c>
      <c r="J44" s="16" t="inlineStr">
        <is>
          <t>Trung bình</t>
        </is>
      </c>
      <c r="K44" s="17" t="n"/>
      <c r="L44" s="17" t="inlineStr">
        <is>
          <t>Chưa test</t>
        </is>
      </c>
      <c r="M44" s="17" t="n"/>
      <c r="N44" s="18" t="n"/>
      <c r="O44" s="17" t="n"/>
    </row>
    <row r="45">
      <c r="A45" s="16" t="inlineStr">
        <is>
          <t>W-TC-018</t>
        </is>
      </c>
      <c r="B45" s="16" t="inlineStr">
        <is>
          <t>Trang chủ</t>
        </is>
      </c>
      <c r="C45" s="16" t="inlineStr">
        <is>
          <t>Chi phí NVL</t>
        </is>
      </c>
      <c r="D45" s="16" t="inlineStr">
        <is>
          <t>/app/trang-chu/chi-phi-nvl</t>
        </is>
      </c>
      <c r="E45" s="16" t="inlineStr">
        <is>
          <t>Tích hợp</t>
        </is>
      </c>
      <c r="F45" s="16" t="inlineStr">
        <is>
          <t>Cách tính Theo iPOS Inventory</t>
        </is>
      </c>
      <c r="G45" s="16" t="inlineStr">
        <is>
          <t>Đăng nhập, đơn vị Phố Mây gói Standard, hộ kinh doanh TT152</t>
        </is>
      </c>
      <c r="H45" s="16" t="inlineStr">
        <is>
          <t>1. Cửa hàng đặt cách iPOS Inventory
2. Xem màn</t>
        </is>
      </c>
      <c r="I45" s="16" t="inlineStr">
        <is>
          <t>NVL = giá thành món × số món bán + NVL tiêu hao (xuất huỷ + xuất điều chỉnh − nhập điều chỉnh)</t>
        </is>
      </c>
      <c r="J45" s="16" t="inlineStr">
        <is>
          <t>Cao</t>
        </is>
      </c>
      <c r="K45" s="17" t="n"/>
      <c r="L45" s="17" t="inlineStr">
        <is>
          <t>Chưa test</t>
        </is>
      </c>
      <c r="M45" s="17" t="n"/>
      <c r="N45" s="18" t="n"/>
      <c r="O45" s="17" t="n"/>
    </row>
    <row r="46">
      <c r="A46" s="16" t="inlineStr">
        <is>
          <t>W-TC-019</t>
        </is>
      </c>
      <c r="B46" s="16" t="inlineStr">
        <is>
          <t>Trang chủ</t>
        </is>
      </c>
      <c r="C46" s="16" t="inlineStr">
        <is>
          <t>Chi phí NVL</t>
        </is>
      </c>
      <c r="D46" s="16" t="inlineStr">
        <is>
          <t>/app/trang-chu/chi-phi-nvl</t>
        </is>
      </c>
      <c r="E46" s="16" t="inlineStr">
        <is>
          <t>Chức năng</t>
        </is>
      </c>
      <c r="F46" s="16" t="inlineStr">
        <is>
          <t>Cách tính Nhập tay</t>
        </is>
      </c>
      <c r="G46" s="16" t="inlineStr">
        <is>
          <t>Đăng nhập, đơn vị Phố Mây gói Standard, hộ kinh doanh TT152</t>
        </is>
      </c>
      <c r="H46" s="16" t="inlineStr">
        <is>
          <t>1. Cửa hàng đặt cách Nhập tay
2. Nhập giá thành vài món, để trống 1 món
3. Xuất, nhập Excel giá thành</t>
        </is>
      </c>
      <c r="I46" s="16" t="inlineStr">
        <is>
          <t>NVL = số món bán × giá thành nhập; món chưa có giá tính 0. Nhập/xuất Excel đúng</t>
        </is>
      </c>
      <c r="J46" s="16" t="inlineStr">
        <is>
          <t>Cao</t>
        </is>
      </c>
      <c r="K46" s="17" t="n"/>
      <c r="L46" s="17" t="inlineStr">
        <is>
          <t>Chưa test</t>
        </is>
      </c>
      <c r="M46" s="17" t="n"/>
      <c r="N46" s="18" t="n"/>
      <c r="O46" s="17" t="n"/>
    </row>
    <row r="47">
      <c r="A47" s="16" t="inlineStr">
        <is>
          <t>W-TC-020</t>
        </is>
      </c>
      <c r="B47" s="16" t="inlineStr">
        <is>
          <t>Trang chủ</t>
        </is>
      </c>
      <c r="C47" s="16" t="inlineStr">
        <is>
          <t>Chi phí NVL</t>
        </is>
      </c>
      <c r="D47" s="16" t="inlineStr">
        <is>
          <t>/app/trang-chu/chi-phi-nvl</t>
        </is>
      </c>
      <c r="E47" s="16" t="inlineStr">
        <is>
          <t>Tích hợp</t>
        </is>
      </c>
      <c r="F47" s="16" t="inlineStr">
        <is>
          <t>Cách tính Theo phiếu nhập</t>
        </is>
      </c>
      <c r="G47" s="16" t="inlineStr">
        <is>
          <t>Đăng nhập, đơn vị Phố Mây gói Standard, hộ kinh doanh TT152</t>
        </is>
      </c>
      <c r="H47" s="16" t="inlineStr">
        <is>
          <t>1. Cửa hàng đặt cách Theo phiếu nhập
2. So với tổng phiếu 4.1.1 tháng đó</t>
        </is>
      </c>
      <c r="I47" s="16" t="inlineStr">
        <is>
          <t>NVL = tổng tiền phiếu mua 4.1.1 trong tháng, gồm thuế GTGT</t>
        </is>
      </c>
      <c r="J47" s="16" t="inlineStr">
        <is>
          <t>Trung bình</t>
        </is>
      </c>
      <c r="K47" s="17" t="n"/>
      <c r="L47" s="17" t="inlineStr">
        <is>
          <t>Chưa test</t>
        </is>
      </c>
      <c r="M47" s="17" t="n"/>
      <c r="N47" s="18" t="n"/>
      <c r="O47" s="17" t="n"/>
    </row>
    <row r="48">
      <c r="A48" s="16" t="inlineStr">
        <is>
          <t>W-TC-021</t>
        </is>
      </c>
      <c r="B48" s="16" t="inlineStr">
        <is>
          <t>Trang chủ</t>
        </is>
      </c>
      <c r="C48" s="16" t="inlineStr">
        <is>
          <t>Chi phí NVL</t>
        </is>
      </c>
      <c r="D48" s="16" t="inlineStr">
        <is>
          <t>/app/trang-chu/chi-phi-nvl</t>
        </is>
      </c>
      <c r="E48" s="16" t="inlineStr">
        <is>
          <t>Ràng buộc</t>
        </is>
      </c>
      <c r="F48" s="16" t="inlineStr">
        <is>
          <t>Tháng đã khoá sổ giữ cách cũ, không sửa</t>
        </is>
      </c>
      <c r="G48" s="16" t="inlineStr">
        <is>
          <t>Đăng nhập, đơn vị Phố Mây gói Standard, hộ kinh doanh TT152</t>
        </is>
      </c>
      <c r="H48" s="16" t="inlineStr">
        <is>
          <t>1. Khoá tháng 9
2. Đổi cách tính của cửa hàng
3. Xem tháng 9, tháng 10
4. Thử sửa giá thành tháng 9</t>
        </is>
      </c>
      <c r="I48" s="16" t="inlineStr">
        <is>
          <t>Tháng 9 giữ cách cũ, không sửa được; tháng 10 dùng cách mới</t>
        </is>
      </c>
      <c r="J48" s="16" t="inlineStr">
        <is>
          <t>Cao</t>
        </is>
      </c>
      <c r="K48" s="17" t="n"/>
      <c r="L48" s="17" t="inlineStr">
        <is>
          <t>Chưa test</t>
        </is>
      </c>
      <c r="M48" s="17" t="n"/>
      <c r="N48" s="18" t="n"/>
      <c r="O48" s="17" t="n"/>
    </row>
    <row r="49">
      <c r="A49" s="16" t="inlineStr">
        <is>
          <t>W-TC-022</t>
        </is>
      </c>
      <c r="B49" s="16" t="inlineStr">
        <is>
          <t>Trang chủ</t>
        </is>
      </c>
      <c r="C49" s="16" t="inlineStr">
        <is>
          <t>Lịch sử thu chi</t>
        </is>
      </c>
      <c r="D49" s="16" t="inlineStr">
        <is>
          <t>/app/trang-chu/lich-su-quy</t>
        </is>
      </c>
      <c r="E49" s="16" t="inlineStr">
        <is>
          <t>Chức năng</t>
        </is>
      </c>
      <c r="F49" s="16" t="inlineStr">
        <is>
          <t>Lọc và đọc lịch sử</t>
        </is>
      </c>
      <c r="G49" s="16" t="inlineStr">
        <is>
          <t>Đăng nhập, đơn vị Phố Mây gói Standard, hộ kinh doanh TT152</t>
        </is>
      </c>
      <c r="H49" s="16" t="inlineStr">
        <is>
          <t>1. Mở từ khối Quỹ tiền
2. Lọc theo quỹ, loại thu/chi
3. Bấm một giao dịch</t>
        </is>
      </c>
      <c r="I49" s="16" t="inlineStr">
        <is>
          <t>Có Tồn đầu, Thu, Chi, Tồn cuối; giao dịch gom theo ngày kèm số dư cuối ngày, nhãn FABi POS hoặc Thủ công. Bấm mở chứng từ gốc</t>
        </is>
      </c>
      <c r="J49" s="16" t="inlineStr">
        <is>
          <t>Cao</t>
        </is>
      </c>
      <c r="K49" s="17" t="n"/>
      <c r="L49" s="17" t="inlineStr">
        <is>
          <t>Chưa test</t>
        </is>
      </c>
      <c r="M49" s="17" t="n"/>
      <c r="N49" s="18" t="n"/>
      <c r="O49" s="17" t="n"/>
    </row>
    <row r="50">
      <c r="A50" s="16" t="inlineStr">
        <is>
          <t>W-DM-001</t>
        </is>
      </c>
      <c r="B50" s="16" t="inlineStr">
        <is>
          <t>Danh mục</t>
        </is>
      </c>
      <c r="C50" s="16" t="inlineStr">
        <is>
          <t>Cửa hàng</t>
        </is>
      </c>
      <c r="D50" s="16" t="inlineStr">
        <is>
          <t>/app/danh-muc/cua-hang</t>
        </is>
      </c>
      <c r="E50" s="16" t="inlineStr">
        <is>
          <t>Hiển thị</t>
        </is>
      </c>
      <c r="F50" s="16" t="inlineStr">
        <is>
          <t>Mỗi cửa hàng một kho, không khai kho</t>
        </is>
      </c>
      <c r="G50" s="16" t="inlineStr">
        <is>
          <t>Đăng nhập, đơn vị Phố Mây gói Standard, hộ kinh doanh TT152</t>
        </is>
      </c>
      <c r="H50" s="16" t="inlineStr">
        <is>
          <t>1. Mở Danh mục cửa hàng
2. Mở một cửa hàng</t>
        </is>
      </c>
      <c r="I50" s="16" t="inlineStr">
        <is>
          <t>Không có ô khai kho; có Cách tính chi phí NVL và bật/tắt Đồng bộ thu chi FABi</t>
        </is>
      </c>
      <c r="J50" s="16" t="inlineStr">
        <is>
          <t>Cao</t>
        </is>
      </c>
      <c r="K50" s="17" t="n"/>
      <c r="L50" s="17" t="inlineStr">
        <is>
          <t>Chưa test</t>
        </is>
      </c>
      <c r="M50" s="17" t="n"/>
      <c r="N50" s="18" t="n"/>
      <c r="O50" s="17" t="n"/>
    </row>
    <row r="51">
      <c r="A51" s="16" t="inlineStr">
        <is>
          <t>W-DM-002</t>
        </is>
      </c>
      <c r="B51" s="16" t="inlineStr">
        <is>
          <t>Danh mục</t>
        </is>
      </c>
      <c r="C51" s="16" t="inlineStr">
        <is>
          <t>Cửa hàng</t>
        </is>
      </c>
      <c r="D51" s="16" t="inlineStr">
        <is>
          <t>/app/danh-muc/cua-hang</t>
        </is>
      </c>
      <c r="E51" s="16" t="inlineStr">
        <is>
          <t>Chức năng</t>
        </is>
      </c>
      <c r="F51" s="16" t="inlineStr">
        <is>
          <t>Thêm cửa hàng từ FABi</t>
        </is>
      </c>
      <c r="G51" s="16" t="inlineStr">
        <is>
          <t>Đăng nhập, đơn vị Phố Mây gói Standard, hộ kinh doanh TT152</t>
        </is>
      </c>
      <c r="H51" s="16" t="inlineStr">
        <is>
          <t>1. Bấm Thêm
2. Chọn cửa hàng FABi chưa dùng kế toán
3. Tích khai số dư ngay, lưu</t>
        </is>
      </c>
      <c r="I51" s="16" t="inlineStr">
        <is>
          <t>Chỉ liệt kê cửa hàng FABi chưa dùng kế toán. Lưu xong sang Danh mục Quỹ tiền</t>
        </is>
      </c>
      <c r="J51" s="16" t="inlineStr">
        <is>
          <t>Trung bình</t>
        </is>
      </c>
      <c r="K51" s="17" t="n"/>
      <c r="L51" s="17" t="inlineStr">
        <is>
          <t>Chưa test</t>
        </is>
      </c>
      <c r="M51" s="17" t="n"/>
      <c r="N51" s="18" t="n"/>
      <c r="O51" s="17" t="n"/>
    </row>
    <row r="52">
      <c r="A52" s="16" t="inlineStr">
        <is>
          <t>W-DM-003</t>
        </is>
      </c>
      <c r="B52" s="16" t="inlineStr">
        <is>
          <t>Danh mục</t>
        </is>
      </c>
      <c r="C52" s="16" t="inlineStr">
        <is>
          <t>Hàng hoá</t>
        </is>
      </c>
      <c r="D52" s="16" t="inlineStr">
        <is>
          <t>/app/danh-muc/1-2</t>
        </is>
      </c>
      <c r="E52" s="16" t="inlineStr">
        <is>
          <t>Hiển thị</t>
        </is>
      </c>
      <c r="F52" s="16" t="inlineStr">
        <is>
          <t>Form hàng hoá gọn ở gói Standard</t>
        </is>
      </c>
      <c r="G52" s="16" t="inlineStr">
        <is>
          <t>Đăng nhập, đơn vị Phố Mây gói Standard, hộ kinh doanh TT152</t>
        </is>
      </c>
      <c r="H52" s="16" t="inlineStr">
        <is>
          <t>1. Thêm hàng hoá mới</t>
        </is>
      </c>
      <c r="I52" s="16" t="inlineStr">
        <is>
          <t>Không có ĐVT phụ, mã vạch, giá mua, giá bán, kho mặc định, tồn tối thiểu/tối đa, nhà cung cấp, quy đổi ĐVT. Thương hiệu chỉ xem</t>
        </is>
      </c>
      <c r="J52" s="16" t="inlineStr">
        <is>
          <t>Cao</t>
        </is>
      </c>
      <c r="K52" s="17" t="n"/>
      <c r="L52" s="17" t="inlineStr">
        <is>
          <t>Chưa test</t>
        </is>
      </c>
      <c r="M52" s="17" t="n"/>
      <c r="N52" s="18" t="n"/>
      <c r="O52" s="17" t="n"/>
    </row>
    <row r="53">
      <c r="A53" s="16" t="inlineStr">
        <is>
          <t>W-DM-004</t>
        </is>
      </c>
      <c r="B53" s="16" t="inlineStr">
        <is>
          <t>Danh mục</t>
        </is>
      </c>
      <c r="C53" s="16" t="inlineStr">
        <is>
          <t>Hàng hoá</t>
        </is>
      </c>
      <c r="D53" s="16" t="inlineStr">
        <is>
          <t>/app/danh-muc/1-2</t>
        </is>
      </c>
      <c r="E53" s="16" t="inlineStr">
        <is>
          <t>Chức năng</t>
        </is>
      </c>
      <c r="F53" s="16" t="inlineStr">
        <is>
          <t>Theo dõi tồn kho, ngành mặc định</t>
        </is>
      </c>
      <c r="G53" s="16" t="inlineStr">
        <is>
          <t>Đăng nhập, đơn vị Phố Mây gói Standard, hộ kinh doanh TT152</t>
        </is>
      </c>
      <c r="H53" s="16" t="inlineStr">
        <is>
          <t>1. Chọn loại Thành phẩm
2. Chọn loại khác
3. Xem ngành của hàng mới</t>
        </is>
      </c>
      <c r="I53" s="16" t="inlineStr">
        <is>
          <t>Thành phẩm tự tắt Theo dõi tồn kho, loại khác bật. Ngành mặc định Dịch vụ ăn uống, tự điền tỷ lệ GTGT, TNCN</t>
        </is>
      </c>
      <c r="J53" s="16" t="inlineStr">
        <is>
          <t>Trung bình</t>
        </is>
      </c>
      <c r="K53" s="17" t="n"/>
      <c r="L53" s="17" t="inlineStr">
        <is>
          <t>Chưa test</t>
        </is>
      </c>
      <c r="M53" s="17" t="n"/>
      <c r="N53" s="18" t="n"/>
      <c r="O53" s="17" t="n"/>
    </row>
    <row r="54">
      <c r="A54" s="16" t="inlineStr">
        <is>
          <t>W-DM-005</t>
        </is>
      </c>
      <c r="B54" s="16" t="inlineStr">
        <is>
          <t>Danh mục</t>
        </is>
      </c>
      <c r="C54" s="16" t="inlineStr">
        <is>
          <t>Hàng hoá</t>
        </is>
      </c>
      <c r="D54" s="16" t="inlineStr">
        <is>
          <t>/app/danh-muc/1-2</t>
        </is>
      </c>
      <c r="E54" s="16" t="inlineStr">
        <is>
          <t>Ràng buộc</t>
        </is>
      </c>
      <c r="F54" s="16" t="inlineStr">
        <is>
          <t>Bắt buộc, trùng mã</t>
        </is>
      </c>
      <c r="G54" s="16" t="inlineStr">
        <is>
          <t>Đăng nhập, đơn vị Phố Mây gói Standard, hộ kinh doanh TT152</t>
        </is>
      </c>
      <c r="H54" s="16" t="inlineStr">
        <is>
          <t>1. Lưu khi trống mã, tên
2. Lưu mã đã có</t>
        </is>
      </c>
      <c r="I54" s="16" t="inlineStr">
        <is>
          <t>Báo lỗi ô bắt buộc; báo trùng mã, không lưu</t>
        </is>
      </c>
      <c r="J54" s="16" t="inlineStr">
        <is>
          <t>Trung bình</t>
        </is>
      </c>
      <c r="K54" s="17" t="n"/>
      <c r="L54" s="17" t="inlineStr">
        <is>
          <t>Chưa test</t>
        </is>
      </c>
      <c r="M54" s="17" t="n"/>
      <c r="N54" s="18" t="n"/>
      <c r="O54" s="17" t="n"/>
    </row>
    <row r="55">
      <c r="A55" s="16" t="inlineStr">
        <is>
          <t>W-DM-006</t>
        </is>
      </c>
      <c r="B55" s="16" t="inlineStr">
        <is>
          <t>Danh mục</t>
        </is>
      </c>
      <c r="C55" s="16" t="inlineStr">
        <is>
          <t>Nhóm hàng hoá</t>
        </is>
      </c>
      <c r="D55" s="16" t="inlineStr">
        <is>
          <t>/app/danh-muc/nhom-hang-hoa</t>
        </is>
      </c>
      <c r="E55" s="16" t="inlineStr">
        <is>
          <t>Chức năng</t>
        </is>
      </c>
      <c r="F55" s="16" t="inlineStr">
        <is>
          <t>Thêm tay, đồng bộ FABi</t>
        </is>
      </c>
      <c r="G55" s="16" t="inlineStr">
        <is>
          <t>Đăng nhập, đơn vị Phố Mây gói Standard, hộ kinh doanh TT152</t>
        </is>
      </c>
      <c r="H55" s="16" t="inlineStr">
        <is>
          <t>1. Thêm nhóm tay
2. Bấm Đồng bộ FABi</t>
        </is>
      </c>
      <c r="I55" s="16" t="inlineStr">
        <is>
          <t>Thêm được; đồng bộ lấy nhóm món từ FABi, không nhân đôi nhóm đã có</t>
        </is>
      </c>
      <c r="J55" s="16" t="inlineStr">
        <is>
          <t>Trung bình</t>
        </is>
      </c>
      <c r="K55" s="17" t="n"/>
      <c r="L55" s="17" t="inlineStr">
        <is>
          <t>Chưa test</t>
        </is>
      </c>
      <c r="M55" s="17" t="n"/>
      <c r="N55" s="18" t="n"/>
      <c r="O55" s="17" t="n"/>
    </row>
    <row r="56">
      <c r="A56" s="16" t="inlineStr">
        <is>
          <t>W-DM-007</t>
        </is>
      </c>
      <c r="B56" s="16" t="inlineStr">
        <is>
          <t>Danh mục</t>
        </is>
      </c>
      <c r="C56" s="16" t="inlineStr">
        <is>
          <t>Khách hàng, NCC, nhân viên</t>
        </is>
      </c>
      <c r="D56" s="16" t="inlineStr">
        <is>
          <t>/app/danh-muc/1-5</t>
        </is>
      </c>
      <c r="E56" s="16" t="inlineStr">
        <is>
          <t>Hiển thị</t>
        </is>
      </c>
      <c r="F56" s="16" t="inlineStr">
        <is>
          <t>Form đối tượng gọn</t>
        </is>
      </c>
      <c r="G56" s="16" t="inlineStr">
        <is>
          <t>Đăng nhập, đơn vị Phố Mây gói Standard, hộ kinh doanh TT152</t>
        </is>
      </c>
      <c r="H56" s="16" t="inlineStr">
        <is>
          <t>1. Thêm khách hàng, nhà cung cấp, nhân viên</t>
        </is>
      </c>
      <c r="I56" s="16" t="inlineStr">
        <is>
          <t>Không có số thẻ ngân hàng và các khối nâng cao</t>
        </is>
      </c>
      <c r="J56" s="16" t="inlineStr">
        <is>
          <t>Trung bình</t>
        </is>
      </c>
      <c r="K56" s="17" t="n"/>
      <c r="L56" s="17" t="inlineStr">
        <is>
          <t>Chưa test</t>
        </is>
      </c>
      <c r="M56" s="17" t="n"/>
      <c r="N56" s="18" t="n"/>
      <c r="O56" s="17" t="n"/>
    </row>
    <row r="57">
      <c r="A57" s="16" t="inlineStr">
        <is>
          <t>W-DM-008</t>
        </is>
      </c>
      <c r="B57" s="16" t="inlineStr">
        <is>
          <t>Danh mục</t>
        </is>
      </c>
      <c r="C57" s="16" t="inlineStr">
        <is>
          <t>Khách hàng, NCC, nhân viên</t>
        </is>
      </c>
      <c r="D57" s="16" t="inlineStr">
        <is>
          <t>/app/danh-muc/1-5</t>
        </is>
      </c>
      <c r="E57" s="16" t="inlineStr">
        <is>
          <t>Ràng buộc</t>
        </is>
      </c>
      <c r="F57" s="16" t="inlineStr">
        <is>
          <t>Bắt buộc, trùng mã, xoá đang dùng</t>
        </is>
      </c>
      <c r="G57" s="16" t="inlineStr">
        <is>
          <t>Đăng nhập, đơn vị Phố Mây gói Standard, hộ kinh doanh TT152</t>
        </is>
      </c>
      <c r="H57" s="16" t="inlineStr">
        <is>
          <t>1. Lưu thiếu mã/tên
2. Lưu trùng mã
3. Xoá nhà cung cấp đã có phiếu mua</t>
        </is>
      </c>
      <c r="I57" s="16" t="inlineStr">
        <is>
          <t>Báo lỗi; báo trùng; chặn xoá đối tượng đã phát sinh</t>
        </is>
      </c>
      <c r="J57" s="16" t="inlineStr">
        <is>
          <t>Trung bình</t>
        </is>
      </c>
      <c r="K57" s="17" t="n"/>
      <c r="L57" s="17" t="inlineStr">
        <is>
          <t>Chưa test</t>
        </is>
      </c>
      <c r="M57" s="17" t="n"/>
      <c r="N57" s="18" t="n"/>
      <c r="O57" s="17" t="n"/>
    </row>
    <row r="58">
      <c r="A58" s="16" t="inlineStr">
        <is>
          <t>W-DM-009</t>
        </is>
      </c>
      <c r="B58" s="16" t="inlineStr">
        <is>
          <t>Danh mục</t>
        </is>
      </c>
      <c r="C58" s="16" t="inlineStr">
        <is>
          <t>Nhóm đối tượng</t>
        </is>
      </c>
      <c r="D58" s="16" t="inlineStr">
        <is>
          <t>/app/danh-muc/nhom-doi-tuong</t>
        </is>
      </c>
      <c r="E58" s="16" t="inlineStr">
        <is>
          <t>Chức năng</t>
        </is>
      </c>
      <c r="F58" s="16" t="inlineStr">
        <is>
          <t>Thêm, sửa, xoá nhóm đối tượng</t>
        </is>
      </c>
      <c r="G58" s="16" t="inlineStr">
        <is>
          <t>Đăng nhập, đơn vị Phố Mây gói Standard, hộ kinh doanh TT152</t>
        </is>
      </c>
      <c r="H58" s="16" t="inlineStr">
        <is>
          <t>1. Thêm nhóm
2. Sửa tên
3. Xoá nhóm</t>
        </is>
      </c>
      <c r="I58" s="16" t="inlineStr">
        <is>
          <t>Thao tác đúng, danh sách cập nhật</t>
        </is>
      </c>
      <c r="J58" s="16" t="inlineStr">
        <is>
          <t>Thấp</t>
        </is>
      </c>
      <c r="K58" s="17" t="n"/>
      <c r="L58" s="17" t="inlineStr">
        <is>
          <t>Chưa test</t>
        </is>
      </c>
      <c r="M58" s="17" t="n"/>
      <c r="N58" s="18" t="n"/>
      <c r="O58" s="17" t="n"/>
    </row>
    <row r="59">
      <c r="A59" s="16" t="inlineStr">
        <is>
          <t>W-DM-010</t>
        </is>
      </c>
      <c r="B59" s="16" t="inlineStr">
        <is>
          <t>Danh mục</t>
        </is>
      </c>
      <c r="C59" s="16" t="inlineStr">
        <is>
          <t>Kho</t>
        </is>
      </c>
      <c r="D59" s="16" t="inlineStr">
        <is>
          <t>/app/danh-muc/1-8</t>
        </is>
      </c>
      <c r="E59" s="16" t="inlineStr">
        <is>
          <t>Ràng buộc</t>
        </is>
      </c>
      <c r="F59" s="16" t="inlineStr">
        <is>
          <t>Kho chỉ xem</t>
        </is>
      </c>
      <c r="G59" s="16" t="inlineStr">
        <is>
          <t>Đăng nhập, đơn vị Phố Mây gói Standard, hộ kinh doanh TT152</t>
        </is>
      </c>
      <c r="H59" s="16" t="inlineStr">
        <is>
          <t>1. Mở Danh mục kho</t>
        </is>
      </c>
      <c r="I59" s="16" t="inlineStr">
        <is>
          <t>Không có nút Thêm kho, không có Nhóm kho; mỗi cửa hàng một kho</t>
        </is>
      </c>
      <c r="J59" s="16" t="inlineStr">
        <is>
          <t>Trung bình</t>
        </is>
      </c>
      <c r="K59" s="17" t="n"/>
      <c r="L59" s="17" t="inlineStr">
        <is>
          <t>Chưa test</t>
        </is>
      </c>
      <c r="M59" s="17" t="n"/>
      <c r="N59" s="18" t="n"/>
      <c r="O59" s="17" t="n"/>
    </row>
    <row r="60">
      <c r="A60" s="16" t="inlineStr">
        <is>
          <t>W-DM-011</t>
        </is>
      </c>
      <c r="B60" s="16" t="inlineStr">
        <is>
          <t>Danh mục</t>
        </is>
      </c>
      <c r="C60" s="16" t="inlineStr">
        <is>
          <t>Quỹ tiền</t>
        </is>
      </c>
      <c r="D60" s="16" t="inlineStr">
        <is>
          <t>/app/danh-muc/1-12</t>
        </is>
      </c>
      <c r="E60" s="16" t="inlineStr">
        <is>
          <t>Chức năng</t>
        </is>
      </c>
      <c r="F60" s="16" t="inlineStr">
        <is>
          <t>Khai số dư ban đầu tại danh mục</t>
        </is>
      </c>
      <c r="G60" s="16" t="inlineStr">
        <is>
          <t>Đăng nhập, đơn vị Phố Mây gói Standard, hộ kinh doanh TT152</t>
        </is>
      </c>
      <c r="H60" s="16" t="inlineStr">
        <is>
          <t>1. Mở Quỹ tiền
2. Nhập Số dư ban đầu cho một quỹ
3. Xem Sổ quỹ tiền mặt kỳ đầu</t>
        </is>
      </c>
      <c r="I60" s="16" t="inlineStr">
        <is>
          <t>Có cột Số dư ban đầu; số dư lên sổ quỹ đầu kỳ</t>
        </is>
      </c>
      <c r="J60" s="16" t="inlineStr">
        <is>
          <t>Cao</t>
        </is>
      </c>
      <c r="K60" s="17" t="n"/>
      <c r="L60" s="17" t="inlineStr">
        <is>
          <t>Chưa test</t>
        </is>
      </c>
      <c r="M60" s="17" t="n"/>
      <c r="N60" s="18" t="n"/>
      <c r="O60" s="17" t="n"/>
    </row>
    <row r="61">
      <c r="A61" s="16" t="inlineStr">
        <is>
          <t>W-DM-012</t>
        </is>
      </c>
      <c r="B61" s="16" t="inlineStr">
        <is>
          <t>Danh mục</t>
        </is>
      </c>
      <c r="C61" s="16" t="inlineStr">
        <is>
          <t>Quỹ tiền</t>
        </is>
      </c>
      <c r="D61" s="16" t="inlineStr">
        <is>
          <t>/app/danh-muc/1-12</t>
        </is>
      </c>
      <c r="E61" s="16" t="inlineStr">
        <is>
          <t>Tích hợp</t>
        </is>
      </c>
      <c r="F61" s="16" t="inlineStr">
        <is>
          <t>Gắn phương thức thanh toán để nhận phiếu FABi</t>
        </is>
      </c>
      <c r="G61" s="16" t="inlineStr">
        <is>
          <t>Đăng nhập, đơn vị Phố Mây gói Standard, hộ kinh doanh TT152</t>
        </is>
      </c>
      <c r="H61" s="16" t="inlineStr">
        <is>
          <t>1. Gắn phương thức Momo của cửa hàng A vào một quỹ
2. Đồng bộ thu chi FABi</t>
        </is>
      </c>
      <c r="I61" s="16" t="inlineStr">
        <is>
          <t>Phiếu FABi cửa hàng A phương thức Momo vào đúng quỹ đã gắn</t>
        </is>
      </c>
      <c r="J61" s="16" t="inlineStr">
        <is>
          <t>Cao</t>
        </is>
      </c>
      <c r="K61" s="17" t="n"/>
      <c r="L61" s="17" t="inlineStr">
        <is>
          <t>Chưa test</t>
        </is>
      </c>
      <c r="M61" s="17" t="n"/>
      <c r="N61" s="18" t="n"/>
      <c r="O61" s="17" t="n"/>
    </row>
    <row r="62">
      <c r="A62" s="16" t="inlineStr">
        <is>
          <t>W-DM-013</t>
        </is>
      </c>
      <c r="B62" s="16" t="inlineStr">
        <is>
          <t>Danh mục</t>
        </is>
      </c>
      <c r="C62" s="16" t="inlineStr">
        <is>
          <t>Phương thức thanh toán</t>
        </is>
      </c>
      <c r="D62" s="16" t="inlineStr">
        <is>
          <t>/app/danh-muc/phuong-thuc-thanh-toan</t>
        </is>
      </c>
      <c r="E62" s="16" t="inlineStr">
        <is>
          <t>Ràng buộc</t>
        </is>
      </c>
      <c r="F62" s="16" t="inlineStr">
        <is>
          <t>Danh mục lấy từ FABi, chỉ xem</t>
        </is>
      </c>
      <c r="G62" s="16" t="inlineStr">
        <is>
          <t>Đăng nhập, đơn vị Phố Mây gói Standard, hộ kinh doanh TT152</t>
        </is>
      </c>
      <c r="H62" s="16" t="inlineStr">
        <is>
          <t>1. Mở danh mục</t>
        </is>
      </c>
      <c r="I62" s="16" t="inlineStr">
        <is>
          <t>Chỉ có cột mã, tên. Không có Thêm, Sửa, Xoá, Nhập/Xuất Excel</t>
        </is>
      </c>
      <c r="J62" s="16" t="inlineStr">
        <is>
          <t>Trung bình</t>
        </is>
      </c>
      <c r="K62" s="17" t="n"/>
      <c r="L62" s="17" t="inlineStr">
        <is>
          <t>Chưa test</t>
        </is>
      </c>
      <c r="M62" s="17" t="n"/>
      <c r="N62" s="18" t="n"/>
      <c r="O62" s="17" t="n"/>
    </row>
    <row r="63">
      <c r="A63" s="16" t="inlineStr">
        <is>
          <t>W-DM-014</t>
        </is>
      </c>
      <c r="B63" s="16" t="inlineStr">
        <is>
          <t>Danh mục</t>
        </is>
      </c>
      <c r="C63" s="16" t="inlineStr">
        <is>
          <t>Lý do nghiệp vụ</t>
        </is>
      </c>
      <c r="D63" s="16" t="inlineStr">
        <is>
          <t>/app/danh-muc/1-16</t>
        </is>
      </c>
      <c r="E63" s="16" t="inlineStr">
        <is>
          <t>Chức năng</t>
        </is>
      </c>
      <c r="F63" s="16" t="inlineStr">
        <is>
          <t>Chỉ lý do thu, chi; tích là chi phí</t>
        </is>
      </c>
      <c r="G63" s="16" t="inlineStr">
        <is>
          <t>Đăng nhập, đơn vị Phố Mây gói Standard, hộ kinh doanh TT152</t>
        </is>
      </c>
      <c r="H63" s="16" t="inlineStr">
        <is>
          <t>1. Mở danh mục
2. Thêm lý do chi, tích là chi phí
3. Lập phiếu chi với lý do đó</t>
        </is>
      </c>
      <c r="I63" s="16" t="inlineStr">
        <is>
          <t>Chỉ có lý do Thu tiền, Chi tiền. Phiếu vào màn Chi phí hoạt động</t>
        </is>
      </c>
      <c r="J63" s="16" t="inlineStr">
        <is>
          <t>Cao</t>
        </is>
      </c>
      <c r="K63" s="17" t="n"/>
      <c r="L63" s="17" t="inlineStr">
        <is>
          <t>Chưa test</t>
        </is>
      </c>
      <c r="M63" s="17" t="n"/>
      <c r="N63" s="18" t="n"/>
      <c r="O63" s="17" t="n"/>
    </row>
    <row r="64">
      <c r="A64" s="16" t="inlineStr">
        <is>
          <t>W-DM-015</t>
        </is>
      </c>
      <c r="B64" s="16" t="inlineStr">
        <is>
          <t>Danh mục</t>
        </is>
      </c>
      <c r="C64" s="16" t="inlineStr">
        <is>
          <t>Nhóm lý do nghiệp vụ</t>
        </is>
      </c>
      <c r="D64" s="16" t="inlineStr">
        <is>
          <t>/app/danh-muc/nhom-ly-do</t>
        </is>
      </c>
      <c r="E64" s="16" t="inlineStr">
        <is>
          <t>Ràng buộc</t>
        </is>
      </c>
      <c r="F64" s="16" t="inlineStr">
        <is>
          <t>6 nhóm chi phí theo S2c-HKD, chỉ xem</t>
        </is>
      </c>
      <c r="G64" s="16" t="inlineStr">
        <is>
          <t>Đăng nhập, đơn vị Phố Mây gói Standard, hộ kinh doanh TT152</t>
        </is>
      </c>
      <c r="H64" s="16" t="inlineStr">
        <is>
          <t>1. Mở danh mục</t>
        </is>
      </c>
      <c r="I64" s="16" t="inlineStr">
        <is>
          <t>Đúng 6 nhóm, không thêm, sửa, xoá</t>
        </is>
      </c>
      <c r="J64" s="16" t="inlineStr">
        <is>
          <t>Trung bình</t>
        </is>
      </c>
      <c r="K64" s="17" t="n"/>
      <c r="L64" s="17" t="inlineStr">
        <is>
          <t>Chưa test</t>
        </is>
      </c>
      <c r="M64" s="17" t="n"/>
      <c r="N64" s="18" t="n"/>
      <c r="O64" s="17" t="n"/>
    </row>
    <row r="65">
      <c r="A65" s="16" t="inlineStr">
        <is>
          <t>W-DM-016</t>
        </is>
      </c>
      <c r="B65" s="16" t="inlineStr">
        <is>
          <t>Danh mục</t>
        </is>
      </c>
      <c r="C65" s="16" t="inlineStr">
        <is>
          <t>Danh mục (chung)</t>
        </is>
      </c>
      <c r="D65" s="16" t="inlineStr">
        <is>
          <t>/app/danh-muc</t>
        </is>
      </c>
      <c r="E65" s="16" t="inlineStr">
        <is>
          <t>Hiển thị</t>
        </is>
      </c>
      <c r="F65" s="16" t="inlineStr">
        <is>
          <t>Danh mục ẩn ở gói Standard</t>
        </is>
      </c>
      <c r="G65" s="16" t="inlineStr">
        <is>
          <t>Đăng nhập, đơn vị Phố Mây gói Standard, hộ kinh doanh TT152</t>
        </is>
      </c>
      <c r="H65" s="16" t="inlineStr">
        <is>
          <t>1. Xem các tab Danh mục
2. Ctrl+K tìm 'tai khoan', 'but toan'</t>
        </is>
      </c>
      <c r="I65" s="16" t="inlineStr">
        <is>
          <t>Không có Nhóm mục chi phí, Nhóm công việc, Nhóm kho, Tài khoản, Đơn vị tính quy đổi, Bút toán tự động</t>
        </is>
      </c>
      <c r="J65" s="16" t="inlineStr">
        <is>
          <t>Trung bình</t>
        </is>
      </c>
      <c r="K65" s="17" t="n"/>
      <c r="L65" s="17" t="inlineStr">
        <is>
          <t>Chưa test</t>
        </is>
      </c>
      <c r="M65" s="17" t="n"/>
      <c r="N65" s="18" t="n"/>
      <c r="O65" s="17" t="n"/>
    </row>
    <row r="66">
      <c r="A66" s="16" t="inlineStr">
        <is>
          <t>W-TT-001</t>
        </is>
      </c>
      <c r="B66" s="16" t="inlineStr">
        <is>
          <t>Thu chi</t>
        </is>
      </c>
      <c r="C66" s="16" t="inlineStr">
        <is>
          <t>Quy trình</t>
        </is>
      </c>
      <c r="D66" s="16" t="inlineStr">
        <is>
          <t>/app/tien/quy-trinh</t>
        </is>
      </c>
      <c r="E66" s="16" t="inlineStr">
        <is>
          <t>Hiển thị</t>
        </is>
      </c>
      <c r="F66" s="16" t="inlineStr">
        <is>
          <t>Sơ đồ quy trình thu chi</t>
        </is>
      </c>
      <c r="G66" s="16" t="inlineStr">
        <is>
          <t>Đăng nhập, đơn vị Phố Mây gói Standard, hộ kinh doanh TT152</t>
        </is>
      </c>
      <c r="H66" s="16" t="inlineStr">
        <is>
          <t>1. Mở tab Quy trình
2. Bấm từng bước</t>
        </is>
      </c>
      <c r="I66" s="16" t="inlineStr">
        <is>
          <t>Khởi tạo (số dư) → Ghi nhận hằng ngày (5 loại phiếu) → Đối chiếu sổ → Công nợ, báo cáo; bấm mở đúng màn</t>
        </is>
      </c>
      <c r="J66" s="16" t="inlineStr">
        <is>
          <t>Thấp</t>
        </is>
      </c>
      <c r="K66" s="17" t="n"/>
      <c r="L66" s="17" t="inlineStr">
        <is>
          <t>Chưa test</t>
        </is>
      </c>
      <c r="M66" s="17" t="n"/>
      <c r="N66" s="18" t="n"/>
      <c r="O66" s="17" t="n"/>
    </row>
    <row r="67">
      <c r="A67" s="16" t="inlineStr">
        <is>
          <t>W-TT-002</t>
        </is>
      </c>
      <c r="B67" s="16" t="inlineStr">
        <is>
          <t>Thu chi</t>
        </is>
      </c>
      <c r="C67" s="16" t="inlineStr">
        <is>
          <t>Phiếu thu chi 2.1.1</t>
        </is>
      </c>
      <c r="D67" s="16" t="inlineStr">
        <is>
          <t>/app/tien/2-1-1</t>
        </is>
      </c>
      <c r="E67" s="16" t="inlineStr">
        <is>
          <t>Hiển thị</t>
        </is>
      </c>
      <c r="F67" s="16" t="inlineStr">
        <is>
          <t>3 tab loại phiếu</t>
        </is>
      </c>
      <c r="G67" s="16" t="inlineStr">
        <is>
          <t>Đăng nhập, đơn vị Phố Mây gói Standard, hộ kinh doanh TT152</t>
        </is>
      </c>
      <c r="H67" s="16" t="inlineStr">
        <is>
          <t>1. Mở màn 2.1.1
2. Xem các tab</t>
        </is>
      </c>
      <c r="I67" s="16" t="inlineStr">
        <is>
          <t>Tab Tiền mặt (Thu PT, Chi PC), Ngân hàng (Thu BC, Chi UNC), Chuyển quỹ (CQ). Mở mặc định danh sách chứng từ</t>
        </is>
      </c>
      <c r="J67" s="16" t="inlineStr">
        <is>
          <t>Cao</t>
        </is>
      </c>
      <c r="K67" s="17" t="n"/>
      <c r="L67" s="17" t="inlineStr">
        <is>
          <t>Chưa test</t>
        </is>
      </c>
      <c r="M67" s="17" t="n"/>
      <c r="N67" s="18" t="n"/>
      <c r="O67" s="17" t="n"/>
    </row>
    <row r="68">
      <c r="A68" s="16" t="inlineStr">
        <is>
          <t>W-TT-003</t>
        </is>
      </c>
      <c r="B68" s="16" t="inlineStr">
        <is>
          <t>Thu chi</t>
        </is>
      </c>
      <c r="C68" s="16" t="inlineStr">
        <is>
          <t>Phiếu thu chi 2.1.1</t>
        </is>
      </c>
      <c r="D68" s="16" t="inlineStr">
        <is>
          <t>/app/tien/2-1-1</t>
        </is>
      </c>
      <c r="E68" s="16" t="inlineStr">
        <is>
          <t>Chức năng</t>
        </is>
      </c>
      <c r="F68" s="16" t="inlineStr">
        <is>
          <t>Lập phiếu thu tiền mặt</t>
        </is>
      </c>
      <c r="G68" s="16" t="inlineStr">
        <is>
          <t>Đăng nhập, đơn vị Phố Mây gói Standard, hộ kinh doanh TT152</t>
        </is>
      </c>
      <c r="H68" s="16" t="inlineStr">
        <is>
          <t>1. Chọn cửa hàng A
2. Thêm phiếu thu
3. Chọn quỹ, lý do, đối tượng, nhập số tiền
4. Lưu</t>
        </is>
      </c>
      <c r="I68" s="16" t="inlineStr">
        <is>
          <t>Số phiếu dạng PT{YY}{MM}-{0000}. Lưu xong có trong danh sách, sổ quỹ tiền mặt tăng đúng số tiền</t>
        </is>
      </c>
      <c r="J68" s="16" t="inlineStr">
        <is>
          <t>Cao</t>
        </is>
      </c>
      <c r="K68" s="17" t="n"/>
      <c r="L68" s="17" t="inlineStr">
        <is>
          <t>Chưa test</t>
        </is>
      </c>
      <c r="M68" s="17" t="n"/>
      <c r="N68" s="18" t="n"/>
      <c r="O68" s="17" t="n"/>
    </row>
    <row r="69">
      <c r="A69" s="16" t="inlineStr">
        <is>
          <t>W-TT-004</t>
        </is>
      </c>
      <c r="B69" s="16" t="inlineStr">
        <is>
          <t>Thu chi</t>
        </is>
      </c>
      <c r="C69" s="16" t="inlineStr">
        <is>
          <t>Phiếu thu chi 2.1.1</t>
        </is>
      </c>
      <c r="D69" s="16" t="inlineStr">
        <is>
          <t>/app/tien/2-1-1</t>
        </is>
      </c>
      <c r="E69" s="16" t="inlineStr">
        <is>
          <t>Ràng buộc</t>
        </is>
      </c>
      <c r="F69" s="16" t="inlineStr">
        <is>
          <t>Quỹ theo loại phiếu và cửa hàng</t>
        </is>
      </c>
      <c r="G69" s="16" t="inlineStr">
        <is>
          <t>Đăng nhập, đơn vị Phố Mây gói Standard, hộ kinh doanh TT152</t>
        </is>
      </c>
      <c r="H69" s="16" t="inlineStr">
        <is>
          <t>1. Phiếu tiền mặt cửa hàng A: mở ô Quỹ
2. Phiếu ngân hàng: mở ô Quỹ</t>
        </is>
      </c>
      <c r="I69" s="16" t="inlineStr">
        <is>
          <t>Phiếu tiền mặt chỉ có quỹ tiền mặt của cửa hàng A; phiếu ngân hàng chỉ có tài khoản ngân hàng</t>
        </is>
      </c>
      <c r="J69" s="16" t="inlineStr">
        <is>
          <t>Cao</t>
        </is>
      </c>
      <c r="K69" s="17" t="n"/>
      <c r="L69" s="17" t="inlineStr">
        <is>
          <t>Chưa test</t>
        </is>
      </c>
      <c r="M69" s="17" t="n"/>
      <c r="N69" s="18" t="n"/>
      <c r="O69" s="17" t="n"/>
    </row>
    <row r="70">
      <c r="A70" s="16" t="inlineStr">
        <is>
          <t>W-TT-005</t>
        </is>
      </c>
      <c r="B70" s="16" t="inlineStr">
        <is>
          <t>Thu chi</t>
        </is>
      </c>
      <c r="C70" s="16" t="inlineStr">
        <is>
          <t>Phiếu thu chi 2.1.1</t>
        </is>
      </c>
      <c r="D70" s="16" t="inlineStr">
        <is>
          <t>/app/tien/2-1-1</t>
        </is>
      </c>
      <c r="E70" s="16" t="inlineStr">
        <is>
          <t>Hiển thị</t>
        </is>
      </c>
      <c r="F70" s="16" t="inlineStr">
        <is>
          <t>Lý do, đối tượng ở đầu phiếu</t>
        </is>
      </c>
      <c r="G70" s="16" t="inlineStr">
        <is>
          <t>Đăng nhập, đơn vị Phố Mây gói Standard, hộ kinh doanh TT152</t>
        </is>
      </c>
      <c r="H70" s="16" t="inlineStr">
        <is>
          <t>1. Lập phiếu, chọn lý do, đối tượng
2. Thêm 2 dòng chi tiết</t>
        </is>
      </c>
      <c r="I70" s="16" t="inlineStr">
        <is>
          <t>Bảng chi tiết không có cột lý do, đối tượng; mọi dòng lấy theo đầu phiếu. Không có tab Đính kèm, không Nợ/Có, không nút Ghi sổ</t>
        </is>
      </c>
      <c r="J70" s="16" t="inlineStr">
        <is>
          <t>Trung bình</t>
        </is>
      </c>
      <c r="K70" s="17" t="n"/>
      <c r="L70" s="17" t="inlineStr">
        <is>
          <t>Chưa test</t>
        </is>
      </c>
      <c r="M70" s="17" t="n"/>
      <c r="N70" s="18" t="n"/>
      <c r="O70" s="17" t="n"/>
    </row>
    <row r="71">
      <c r="A71" s="16" t="inlineStr">
        <is>
          <t>W-TT-006</t>
        </is>
      </c>
      <c r="B71" s="16" t="inlineStr">
        <is>
          <t>Thu chi</t>
        </is>
      </c>
      <c r="C71" s="16" t="inlineStr">
        <is>
          <t>Phiếu thu chi 2.1.1</t>
        </is>
      </c>
      <c r="D71" s="16" t="inlineStr">
        <is>
          <t>/app/tien/2-1-1</t>
        </is>
      </c>
      <c r="E71" s="16" t="inlineStr">
        <is>
          <t>Ràng buộc</t>
        </is>
      </c>
      <c r="F71" s="16" t="inlineStr">
        <is>
          <t>Đối tượng bắt buộc theo lý do</t>
        </is>
      </c>
      <c r="G71" s="16" t="inlineStr">
        <is>
          <t>Đăng nhập, đơn vị Phố Mây gói Standard, hộ kinh doanh TT152</t>
        </is>
      </c>
      <c r="H71" s="16" t="inlineStr">
        <is>
          <t>1. Chọn lý do thu nợ / đi vay / chi công nợ / cho vay
2. Để trống đối tượng, lưu</t>
        </is>
      </c>
      <c r="I71" s="16" t="inlineStr">
        <is>
          <t>Báo thiếu đối tượng, không lưu. Lý do khác không bắt buộc</t>
        </is>
      </c>
      <c r="J71" s="16" t="inlineStr">
        <is>
          <t>Cao</t>
        </is>
      </c>
      <c r="K71" s="17" t="n"/>
      <c r="L71" s="17" t="inlineStr">
        <is>
          <t>Chưa test</t>
        </is>
      </c>
      <c r="M71" s="17" t="n"/>
      <c r="N71" s="18" t="n"/>
      <c r="O71" s="17" t="n"/>
    </row>
    <row r="72">
      <c r="A72" s="16" t="inlineStr">
        <is>
          <t>W-TT-007</t>
        </is>
      </c>
      <c r="B72" s="16" t="inlineStr">
        <is>
          <t>Thu chi</t>
        </is>
      </c>
      <c r="C72" s="16" t="inlineStr">
        <is>
          <t>Phiếu thu chi 2.1.1</t>
        </is>
      </c>
      <c r="D72" s="16" t="inlineStr">
        <is>
          <t>/app/tien/2-1-1</t>
        </is>
      </c>
      <c r="E72" s="16" t="inlineStr">
        <is>
          <t>Ràng buộc</t>
        </is>
      </c>
      <c r="F72" s="16" t="inlineStr">
        <is>
          <t>Số tiền, ngày chứng từ</t>
        </is>
      </c>
      <c r="G72" s="16" t="inlineStr">
        <is>
          <t>Đăng nhập, đơn vị Phố Mây gói Standard, hộ kinh doanh TT152</t>
        </is>
      </c>
      <c r="H72" s="16" t="inlineStr">
        <is>
          <t>1. Lưu khi số tiền 0 hoặc âm
2. Chọn ngày trước ngày đầu năm tài chính</t>
        </is>
      </c>
      <c r="I72" s="16" t="inlineStr">
        <is>
          <t>Báo lỗi, không lưu</t>
        </is>
      </c>
      <c r="J72" s="16" t="inlineStr">
        <is>
          <t>Cao</t>
        </is>
      </c>
      <c r="K72" s="17" t="n"/>
      <c r="L72" s="17" t="inlineStr">
        <is>
          <t>Chưa test</t>
        </is>
      </c>
      <c r="M72" s="17" t="n"/>
      <c r="N72" s="18" t="n"/>
      <c r="O72" s="17" t="n"/>
    </row>
    <row r="73">
      <c r="A73" s="16" t="inlineStr">
        <is>
          <t>W-TT-008</t>
        </is>
      </c>
      <c r="B73" s="16" t="inlineStr">
        <is>
          <t>Thu chi</t>
        </is>
      </c>
      <c r="C73" s="16" t="inlineStr">
        <is>
          <t>Phiếu thu chi 2.1.1</t>
        </is>
      </c>
      <c r="D73" s="16" t="inlineStr">
        <is>
          <t>/app/tien/2-1-1</t>
        </is>
      </c>
      <c r="E73" s="16" t="inlineStr">
        <is>
          <t>Chức năng</t>
        </is>
      </c>
      <c r="F73" s="16" t="inlineStr">
        <is>
          <t>Tháng ghi nhận chi phí</t>
        </is>
      </c>
      <c r="G73" s="16" t="inlineStr">
        <is>
          <t>Đăng nhập, đơn vị Phố Mây gói Standard, hộ kinh doanh TT152</t>
        </is>
      </c>
      <c r="H73" s="16" t="inlineStr">
        <is>
          <t>1. Phiếu chi lý do không phải chi phí: xem form
2. Đổi sang lý do chi phí
3. Mở ô Tháng ghi nhận</t>
        </is>
      </c>
      <c r="I73" s="16" t="inlineStr">
        <is>
          <t>Bước 1 không có ô. Bước 2 hiện ô, mặc định tháng của ngày phiếu. Chỉ chọn được các tháng trước chưa khoá sổ</t>
        </is>
      </c>
      <c r="J73" s="16" t="inlineStr">
        <is>
          <t>Cao</t>
        </is>
      </c>
      <c r="K73" s="17" t="n"/>
      <c r="L73" s="17" t="inlineStr">
        <is>
          <t>Chưa test</t>
        </is>
      </c>
      <c r="M73" s="17" t="n"/>
      <c r="N73" s="18" t="n"/>
      <c r="O73" s="17" t="n"/>
    </row>
    <row r="74">
      <c r="A74" s="16" t="inlineStr">
        <is>
          <t>W-TT-009</t>
        </is>
      </c>
      <c r="B74" s="16" t="inlineStr">
        <is>
          <t>Thu chi</t>
        </is>
      </c>
      <c r="C74" s="16" t="inlineStr">
        <is>
          <t>Phiếu thu chi 2.1.1</t>
        </is>
      </c>
      <c r="D74" s="16" t="inlineStr">
        <is>
          <t>/app/tien/2-1-1</t>
        </is>
      </c>
      <c r="E74" s="16" t="inlineStr">
        <is>
          <t>Chức năng</t>
        </is>
      </c>
      <c r="F74" s="16" t="inlineStr">
        <is>
          <t>Chuyển quỹ</t>
        </is>
      </c>
      <c r="G74" s="16" t="inlineStr">
        <is>
          <t>Đăng nhập, đơn vị Phố Mây gói Standard, hộ kinh doanh TT152</t>
        </is>
      </c>
      <c r="H74" s="16" t="inlineStr">
        <is>
          <t>1. Tab Chuyển quỹ, thêm phiếu CQ từ quỹ tiền mặt sang ngân hàng
2. Lưu
3. Xem trang chủ KQKD</t>
        </is>
      </c>
      <c r="I74" s="16" t="inlineStr">
        <is>
          <t>Quỹ đi giảm, quỹ đến tăng đúng số tiền; lãi lỗ không đổi</t>
        </is>
      </c>
      <c r="J74" s="16" t="inlineStr">
        <is>
          <t>Trung bình</t>
        </is>
      </c>
      <c r="K74" s="17" t="n"/>
      <c r="L74" s="17" t="inlineStr">
        <is>
          <t>Chưa test</t>
        </is>
      </c>
      <c r="M74" s="17" t="n"/>
      <c r="N74" s="18" t="n"/>
      <c r="O74" s="17" t="n"/>
    </row>
    <row r="75">
      <c r="A75" s="16" t="inlineStr">
        <is>
          <t>W-TT-010</t>
        </is>
      </c>
      <c r="B75" s="16" t="inlineStr">
        <is>
          <t>Thu chi</t>
        </is>
      </c>
      <c r="C75" s="16" t="inlineStr">
        <is>
          <t>Phiếu thu chi 2.1.1</t>
        </is>
      </c>
      <c r="D75" s="16" t="inlineStr">
        <is>
          <t>/app/tien/2-1-1</t>
        </is>
      </c>
      <c r="E75" s="16" t="inlineStr">
        <is>
          <t>Tích hợp</t>
        </is>
      </c>
      <c r="F75" s="16" t="inlineStr">
        <is>
          <t>Chi phí chờ phân bổ tạo thẻ</t>
        </is>
      </c>
      <c r="G75" s="16" t="inlineStr">
        <is>
          <t>Đăng nhập, đơn vị Phố Mây gói Standard, hộ kinh doanh TT152</t>
        </is>
      </c>
      <c r="H75" s="16" t="inlineStr">
        <is>
          <t>1. Lập phiếu chi lý do Chi phí chờ phân bổ, lưu
2. Đồng ý tạo thẻ
3. Mở lại phiếu, bấm Sửa</t>
        </is>
      </c>
      <c r="I75" s="16" t="inlineStr">
        <is>
          <t>Lưu xong hỏi tạo thẻ chi phí phân bổ; thẻ có trong 8.1.1. Phiếu đã có thẻ không sửa được</t>
        </is>
      </c>
      <c r="J75" s="16" t="inlineStr">
        <is>
          <t>Cao</t>
        </is>
      </c>
      <c r="K75" s="17" t="n"/>
      <c r="L75" s="17" t="inlineStr">
        <is>
          <t>Chưa test</t>
        </is>
      </c>
      <c r="M75" s="17" t="n"/>
      <c r="N75" s="18" t="n"/>
      <c r="O75" s="17" t="n"/>
    </row>
    <row r="76">
      <c r="A76" s="16" t="inlineStr">
        <is>
          <t>W-TT-011</t>
        </is>
      </c>
      <c r="B76" s="16" t="inlineStr">
        <is>
          <t>Thu chi</t>
        </is>
      </c>
      <c r="C76" s="16" t="inlineStr">
        <is>
          <t>Phiếu thu chi 2.1.1</t>
        </is>
      </c>
      <c r="D76" s="16" t="inlineStr">
        <is>
          <t>/app/tien/2-1-1</t>
        </is>
      </c>
      <c r="E76" s="16" t="inlineStr">
        <is>
          <t>Ràng buộc</t>
        </is>
      </c>
      <c r="F76" s="16" t="inlineStr">
        <is>
          <t>Phiếu trong tháng đã khoá sổ chỉ xem</t>
        </is>
      </c>
      <c r="G76" s="16" t="inlineStr">
        <is>
          <t>Đăng nhập, đơn vị Phố Mây gói Standard, hộ kinh doanh TT152</t>
        </is>
      </c>
      <c r="H76" s="16" t="inlineStr">
        <is>
          <t>1. Khoá tháng 9 cửa hàng A
2. Mở phiếu tháng 9 của A
3. Thử Sửa, Xoá</t>
        </is>
      </c>
      <c r="I76" s="16" t="inlineStr">
        <is>
          <t>Phiếu chỉ xem; không sửa, không xoá</t>
        </is>
      </c>
      <c r="J76" s="16" t="inlineStr">
        <is>
          <t>Cao</t>
        </is>
      </c>
      <c r="K76" s="17" t="n"/>
      <c r="L76" s="17" t="inlineStr">
        <is>
          <t>Chưa test</t>
        </is>
      </c>
      <c r="M76" s="17" t="n"/>
      <c r="N76" s="18" t="n"/>
      <c r="O76" s="17" t="n"/>
    </row>
    <row r="77">
      <c r="A77" s="16" t="inlineStr">
        <is>
          <t>W-TT-012</t>
        </is>
      </c>
      <c r="B77" s="16" t="inlineStr">
        <is>
          <t>Thu chi</t>
        </is>
      </c>
      <c r="C77" s="16" t="inlineStr">
        <is>
          <t>Phiếu thu chi 2.1.1</t>
        </is>
      </c>
      <c r="D77" s="16" t="inlineStr">
        <is>
          <t>/app/tien/2-1-1</t>
        </is>
      </c>
      <c r="E77" s="16" t="inlineStr">
        <is>
          <t>Hiển thị</t>
        </is>
      </c>
      <c r="F77" s="16" t="inlineStr">
        <is>
          <t>Danh sách gồm phiếu tự sinh</t>
        </is>
      </c>
      <c r="G77" s="16" t="inlineStr">
        <is>
          <t>Đăng nhập, đơn vị Phố Mây gói Standard, hộ kinh doanh TT152</t>
        </is>
      </c>
      <c r="H77" s="16" t="inlineStr">
        <is>
          <t>1. Mở danh sách tháng có dữ liệu</t>
        </is>
      </c>
      <c r="I77" s="16" t="inlineStr">
        <is>
          <t>Có phiếu đồng bộ FABi, phiếu lương và thuê nhà hằng tháng, phiếu thanh toán sinh từ phiếu mua</t>
        </is>
      </c>
      <c r="J77" s="16" t="inlineStr">
        <is>
          <t>Trung bình</t>
        </is>
      </c>
      <c r="K77" s="17" t="n"/>
      <c r="L77" s="17" t="inlineStr">
        <is>
          <t>Chưa test</t>
        </is>
      </c>
      <c r="M77" s="17" t="n"/>
      <c r="N77" s="18" t="n"/>
      <c r="O77" s="17" t="n"/>
    </row>
    <row r="78">
      <c r="A78" s="16" t="inlineStr">
        <is>
          <t>W-TT-013</t>
        </is>
      </c>
      <c r="B78" s="16" t="inlineStr">
        <is>
          <t>Thu chi</t>
        </is>
      </c>
      <c r="C78" s="16" t="inlineStr">
        <is>
          <t>Phiếu thu chi 2.1.1</t>
        </is>
      </c>
      <c r="D78" s="16" t="inlineStr">
        <is>
          <t>/app/tien/2-1-1</t>
        </is>
      </c>
      <c r="E78" s="16" t="inlineStr">
        <is>
          <t>Chức năng</t>
        </is>
      </c>
      <c r="F78" s="16" t="inlineStr">
        <is>
          <t>Sửa, xoá, sao chép, in phiếu</t>
        </is>
      </c>
      <c r="G78" s="16" t="inlineStr">
        <is>
          <t>Đăng nhập, đơn vị Phố Mây gói Standard, hộ kinh doanh TT152</t>
        </is>
      </c>
      <c r="H78" s="16" t="inlineStr">
        <is>
          <t>1. Sửa số tiền một phiếu tháng chưa khoá, lưu
2. Sao chép
3. In
4. Xoá</t>
        </is>
      </c>
      <c r="I78" s="16" t="inlineStr">
        <is>
          <t>Sửa cập nhật sổ quỹ; sao chép tạo phiếu mới số mới; in ra mẫu phiếu; xoá có hỏi lại và mất khỏi sổ</t>
        </is>
      </c>
      <c r="J78" s="16" t="inlineStr">
        <is>
          <t>Trung bình</t>
        </is>
      </c>
      <c r="K78" s="17" t="n"/>
      <c r="L78" s="17" t="inlineStr">
        <is>
          <t>Chưa test</t>
        </is>
      </c>
      <c r="M78" s="17" t="n"/>
      <c r="N78" s="18" t="n"/>
      <c r="O78" s="17" t="n"/>
    </row>
    <row r="79">
      <c r="A79" s="16" t="inlineStr">
        <is>
          <t>W-TT-014</t>
        </is>
      </c>
      <c r="B79" s="16" t="inlineStr">
        <is>
          <t>Thu chi</t>
        </is>
      </c>
      <c r="C79" s="16" t="inlineStr">
        <is>
          <t>Đồng bộ thu chi FABi</t>
        </is>
      </c>
      <c r="D79" s="16" t="inlineStr">
        <is>
          <t>/app/tien/2-1-1</t>
        </is>
      </c>
      <c r="E79" s="16" t="inlineStr">
        <is>
          <t>Tích hợp</t>
        </is>
      </c>
      <c r="F79" s="16" t="inlineStr">
        <is>
          <t>Bật/tắt đồng bộ theo cửa hàng</t>
        </is>
      </c>
      <c r="G79" s="16" t="inlineStr">
        <is>
          <t>Đăng nhập, đơn vị Phố Mây gói Standard, hộ kinh doanh TT152</t>
        </is>
      </c>
      <c r="H79" s="16" t="inlineStr">
        <is>
          <t>1. Tắt đồng bộ cửa hàng A, bật cửa hàng B
2. Đồng bộ</t>
        </is>
      </c>
      <c r="I79" s="16" t="inlineStr">
        <is>
          <t>Chỉ phiếu của B về; A không có phiếu FABi mới</t>
        </is>
      </c>
      <c r="J79" s="16" t="inlineStr">
        <is>
          <t>Cao</t>
        </is>
      </c>
      <c r="K79" s="17" t="n"/>
      <c r="L79" s="17" t="inlineStr">
        <is>
          <t>Chưa test</t>
        </is>
      </c>
      <c r="M79" s="17" t="n"/>
      <c r="N79" s="18" t="n"/>
      <c r="O79" s="17" t="n"/>
    </row>
    <row r="80">
      <c r="A80" s="16" t="inlineStr">
        <is>
          <t>W-TT-015</t>
        </is>
      </c>
      <c r="B80" s="16" t="inlineStr">
        <is>
          <t>Thu chi</t>
        </is>
      </c>
      <c r="C80" s="16" t="inlineStr">
        <is>
          <t>Đồng bộ thu chi FABi</t>
        </is>
      </c>
      <c r="D80" s="16" t="inlineStr">
        <is>
          <t>/app/tien/2-1-1</t>
        </is>
      </c>
      <c r="E80" s="16" t="inlineStr">
        <is>
          <t>Tích hợp</t>
        </is>
      </c>
      <c r="F80" s="16" t="inlineStr">
        <is>
          <t>Phiếu vào quỹ theo cửa hàng|phương thức</t>
        </is>
      </c>
      <c r="G80" s="16" t="inlineStr">
        <is>
          <t>Đăng nhập, đơn vị Phố Mây gói Standard, hộ kinh doanh TT152</t>
        </is>
      </c>
      <c r="H80" s="16" t="inlineStr">
        <is>
          <t>1. Giữ gắn mặc định
2. Đồng bộ
3. Xem phiếu tiền mặt, chuyển khoản, thẻ, app giao đồ ăn</t>
        </is>
      </c>
      <c r="I80" s="16" t="inlineStr">
        <is>
          <t>Tiền mặt về quỹ tiền mặt cửa hàng; chuyển khoản, thẻ về ngân hàng; app giao đồ ăn chưa gắn thì phiếu chờ, chưa vào sổ</t>
        </is>
      </c>
      <c r="J80" s="16" t="inlineStr">
        <is>
          <t>Cao</t>
        </is>
      </c>
      <c r="K80" s="17" t="n"/>
      <c r="L80" s="17" t="inlineStr">
        <is>
          <t>Chưa test</t>
        </is>
      </c>
      <c r="M80" s="17" t="n"/>
      <c r="N80" s="18" t="n"/>
      <c r="O80" s="17" t="n"/>
    </row>
    <row r="81">
      <c r="A81" s="16" t="inlineStr">
        <is>
          <t>W-TT-016</t>
        </is>
      </c>
      <c r="B81" s="16" t="inlineStr">
        <is>
          <t>Thu chi</t>
        </is>
      </c>
      <c r="C81" s="16" t="inlineStr">
        <is>
          <t>Sổ quỹ tiền mặt 2.2.1</t>
        </is>
      </c>
      <c r="D81" s="16" t="inlineStr">
        <is>
          <t>/app/tien/2-2-1</t>
        </is>
      </c>
      <c r="E81" s="16" t="inlineStr">
        <is>
          <t>Tích hợp</t>
        </is>
      </c>
      <c r="F81" s="16" t="inlineStr">
        <is>
          <t>Sổ quỹ khớp phiếu</t>
        </is>
      </c>
      <c r="G81" s="16" t="inlineStr">
        <is>
          <t>Đăng nhập, đơn vị Phố Mây gói Standard, hộ kinh doanh TT152</t>
        </is>
      </c>
      <c r="H81" s="16" t="inlineStr">
        <is>
          <t>1. Mở sổ tháng có dữ liệu
2. Đối chiếu với danh sách phiếu tiền mặt</t>
        </is>
      </c>
      <c r="I81" s="16" t="inlineStr">
        <is>
          <t>Tồn đầu + Thu − Chi = Tồn cuối; từng dòng đúng phiếu; bấm số phiếu mở phiếu</t>
        </is>
      </c>
      <c r="J81" s="16" t="inlineStr">
        <is>
          <t>Cao</t>
        </is>
      </c>
      <c r="K81" s="17" t="n"/>
      <c r="L81" s="17" t="inlineStr">
        <is>
          <t>Chưa test</t>
        </is>
      </c>
      <c r="M81" s="17" t="n"/>
      <c r="N81" s="18" t="n"/>
      <c r="O81" s="17" t="n"/>
    </row>
    <row r="82">
      <c r="A82" s="16" t="inlineStr">
        <is>
          <t>W-TT-017</t>
        </is>
      </c>
      <c r="B82" s="16" t="inlineStr">
        <is>
          <t>Thu chi</t>
        </is>
      </c>
      <c r="C82" s="16" t="inlineStr">
        <is>
          <t>Sổ ngân hàng 2.2.3</t>
        </is>
      </c>
      <c r="D82" s="16" t="inlineStr">
        <is>
          <t>/app/tien/2-2-3</t>
        </is>
      </c>
      <c r="E82" s="16" t="inlineStr">
        <is>
          <t>Tích hợp</t>
        </is>
      </c>
      <c r="F82" s="16" t="inlineStr">
        <is>
          <t>Sổ ngân hàng khớp phiếu BC, UNC</t>
        </is>
      </c>
      <c r="G82" s="16" t="inlineStr">
        <is>
          <t>Đăng nhập, đơn vị Phố Mây gói Standard, hộ kinh doanh TT152</t>
        </is>
      </c>
      <c r="H82" s="16" t="inlineStr">
        <is>
          <t>1. Mở sổ
2. Đối chiếu phiếu ngân hàng</t>
        </is>
      </c>
      <c r="I82" s="16" t="inlineStr">
        <is>
          <t>Số dư đầu, thu, chi, cuối đúng; bấm số phiếu mở phiếu</t>
        </is>
      </c>
      <c r="J82" s="16" t="inlineStr">
        <is>
          <t>Cao</t>
        </is>
      </c>
      <c r="K82" s="17" t="n"/>
      <c r="L82" s="17" t="inlineStr">
        <is>
          <t>Chưa test</t>
        </is>
      </c>
      <c r="M82" s="17" t="n"/>
      <c r="N82" s="18" t="n"/>
      <c r="O82" s="17" t="n"/>
    </row>
    <row r="83">
      <c r="A83" s="16" t="inlineStr">
        <is>
          <t>W-TT-018</t>
        </is>
      </c>
      <c r="B83" s="16" t="inlineStr">
        <is>
          <t>Thu chi</t>
        </is>
      </c>
      <c r="C83" s="16" t="inlineStr">
        <is>
          <t>Số dư ban đầu</t>
        </is>
      </c>
      <c r="D83" s="16" t="inlineStr">
        <is>
          <t>/app/tien/so-du-ban-dau</t>
        </is>
      </c>
      <c r="E83" s="16" t="inlineStr">
        <is>
          <t>Chức năng</t>
        </is>
      </c>
      <c r="F83" s="16" t="inlineStr">
        <is>
          <t>Đường dẫn cũ chuyển sang Danh mục Quỹ tiền</t>
        </is>
      </c>
      <c r="G83" s="16" t="inlineStr">
        <is>
          <t>Đăng nhập, đơn vị Phố Mây gói Standard, hộ kinh doanh TT152</t>
        </is>
      </c>
      <c r="H83" s="16" t="inlineStr">
        <is>
          <t>1. Mở /app/tien/so-du-ban-dau</t>
        </is>
      </c>
      <c r="I83" s="16" t="inlineStr">
        <is>
          <t>Tự chuyển sang Danh mục Quỹ tiền</t>
        </is>
      </c>
      <c r="J83" s="16" t="inlineStr">
        <is>
          <t>Trung bình</t>
        </is>
      </c>
      <c r="K83" s="17" t="n"/>
      <c r="L83" s="17" t="inlineStr">
        <is>
          <t>Chưa test</t>
        </is>
      </c>
      <c r="M83" s="17" t="n"/>
      <c r="N83" s="18" t="n"/>
      <c r="O83" s="17" t="n"/>
    </row>
    <row r="84">
      <c r="A84" s="16" t="inlineStr">
        <is>
          <t>W-TT-019</t>
        </is>
      </c>
      <c r="B84" s="16" t="inlineStr">
        <is>
          <t>Thu chi</t>
        </is>
      </c>
      <c r="C84" s="16" t="inlineStr">
        <is>
          <t>Báo cáo (tab)</t>
        </is>
      </c>
      <c r="D84" s="16" t="inlineStr">
        <is>
          <t>/app/tien/bao-cao</t>
        </is>
      </c>
      <c r="E84" s="16" t="inlineStr">
        <is>
          <t>Hiển thị</t>
        </is>
      </c>
      <c r="F84" s="16" t="inlineStr">
        <is>
          <t>Tab Báo cáo của Thu chi</t>
        </is>
      </c>
      <c r="G84" s="16" t="inlineStr">
        <is>
          <t>Đăng nhập, đơn vị Phố Mây gói Standard, hộ kinh doanh TT152</t>
        </is>
      </c>
      <c r="H84" s="16" t="inlineStr">
        <is>
          <t>1. Mở tab Báo cáo</t>
        </is>
      </c>
      <c r="I84" s="16" t="inlineStr">
        <is>
          <t>Chỉ có Sổ quỹ tiền mặt 2.2.1, Sổ ngân hàng 2.2.3</t>
        </is>
      </c>
      <c r="J84" s="16" t="inlineStr">
        <is>
          <t>Thấp</t>
        </is>
      </c>
      <c r="K84" s="17" t="n"/>
      <c r="L84" s="17" t="inlineStr">
        <is>
          <t>Chưa test</t>
        </is>
      </c>
      <c r="M84" s="17" t="n"/>
      <c r="N84" s="18" t="n"/>
      <c r="O84" s="17" t="n"/>
    </row>
    <row r="85">
      <c r="A85" s="16" t="inlineStr">
        <is>
          <t>W-BH-001</t>
        </is>
      </c>
      <c r="B85" s="16" t="inlineStr">
        <is>
          <t>Kế toán bán hàng</t>
        </is>
      </c>
      <c r="C85" s="16" t="inlineStr">
        <is>
          <t>Quy trình</t>
        </is>
      </c>
      <c r="D85" s="16" t="inlineStr">
        <is>
          <t>/app/ban-hang/quy-trinh</t>
        </is>
      </c>
      <c r="E85" s="16" t="inlineStr">
        <is>
          <t>Hiển thị</t>
        </is>
      </c>
      <c r="F85" s="16" t="inlineStr">
        <is>
          <t>Sơ đồ quy trình bán hàng</t>
        </is>
      </c>
      <c r="G85" s="16" t="inlineStr">
        <is>
          <t>Đăng nhập, đơn vị Phố Mây gói Standard, hộ kinh doanh TT152</t>
        </is>
      </c>
      <c r="H85" s="16" t="inlineStr">
        <is>
          <t>1. Mở tab Quy trình</t>
        </is>
      </c>
      <c r="I85" s="16" t="inlineStr">
        <is>
          <t>Sơ đồ chỉ gồm bước có ở gói Standard, bấm mở đúng màn</t>
        </is>
      </c>
      <c r="J85" s="16" t="inlineStr">
        <is>
          <t>Thấp</t>
        </is>
      </c>
      <c r="K85" s="17" t="n"/>
      <c r="L85" s="17" t="inlineStr">
        <is>
          <t>Chưa test</t>
        </is>
      </c>
      <c r="M85" s="17" t="n"/>
      <c r="N85" s="18" t="n"/>
      <c r="O85" s="17" t="n"/>
    </row>
    <row r="86">
      <c r="A86" s="16" t="inlineStr">
        <is>
          <t>W-BH-002</t>
        </is>
      </c>
      <c r="B86" s="16" t="inlineStr">
        <is>
          <t>Kế toán bán hàng</t>
        </is>
      </c>
      <c r="C86" s="16" t="inlineStr">
        <is>
          <t>Xuất bán POS 3.1.1</t>
        </is>
      </c>
      <c r="D86" s="16" t="inlineStr">
        <is>
          <t>/app/ban-hang/3-1-1</t>
        </is>
      </c>
      <c r="E86" s="16" t="inlineStr">
        <is>
          <t>Ràng buộc</t>
        </is>
      </c>
      <c r="F86" s="16" t="inlineStr">
        <is>
          <t>Chỉ nhận chứng từ từ FABi</t>
        </is>
      </c>
      <c r="G86" s="16" t="inlineStr">
        <is>
          <t>Đăng nhập, đơn vị Phố Mây gói Standard, hộ kinh doanh TT152</t>
        </is>
      </c>
      <c r="H86" s="16" t="inlineStr">
        <is>
          <t>1. Mở danh sách
2. Tìm nút Thêm
3. Mở một chứng từ, tìm Sửa, Trả hàng, Huỷ</t>
        </is>
      </c>
      <c r="I86" s="16" t="inlineStr">
        <is>
          <t>Không lập tay, không sửa, không trả hàng, không huỷ</t>
        </is>
      </c>
      <c r="J86" s="16" t="inlineStr">
        <is>
          <t>Cao</t>
        </is>
      </c>
      <c r="K86" s="17" t="n"/>
      <c r="L86" s="17" t="inlineStr">
        <is>
          <t>Chưa test</t>
        </is>
      </c>
      <c r="M86" s="17" t="n"/>
      <c r="N86" s="18" t="n"/>
      <c r="O86" s="17" t="n"/>
    </row>
    <row r="87">
      <c r="A87" s="16" t="inlineStr">
        <is>
          <t>W-BH-003</t>
        </is>
      </c>
      <c r="B87" s="16" t="inlineStr">
        <is>
          <t>Kế toán bán hàng</t>
        </is>
      </c>
      <c r="C87" s="16" t="inlineStr">
        <is>
          <t>Xuất bán POS 3.1.1</t>
        </is>
      </c>
      <c r="D87" s="16" t="inlineStr">
        <is>
          <t>/app/ban-hang/3-1-1</t>
        </is>
      </c>
      <c r="E87" s="16" t="inlineStr">
        <is>
          <t>Tích hợp</t>
        </is>
      </c>
      <c r="F87" s="16" t="inlineStr">
        <is>
          <t>Mỗi hoá đơn FABi một chứng từ, dòng món khớp</t>
        </is>
      </c>
      <c r="G87" s="16" t="inlineStr">
        <is>
          <t>Đăng nhập, đơn vị Phố Mây gói Standard, hộ kinh doanh TT152</t>
        </is>
      </c>
      <c r="H87" s="16" t="inlineStr">
        <is>
          <t>1. Mở một chứng từ
2. Kiểm dòng món
3. Cộng doanh thu một ngày</t>
        </is>
      </c>
      <c r="I87" s="16" t="inlineStr">
        <is>
          <t>Thành tiền = số lượng × đơn giá, trừ khuyến mãi; phần chênh dồn vào món cuối; tổng các chứng từ trong ngày = doanh thu ngày</t>
        </is>
      </c>
      <c r="J87" s="16" t="inlineStr">
        <is>
          <t>Cao</t>
        </is>
      </c>
      <c r="K87" s="17" t="n"/>
      <c r="L87" s="17" t="inlineStr">
        <is>
          <t>Chưa test</t>
        </is>
      </c>
      <c r="M87" s="17" t="n"/>
      <c r="N87" s="18" t="n"/>
      <c r="O87" s="17" t="n"/>
    </row>
    <row r="88">
      <c r="A88" s="16" t="inlineStr">
        <is>
          <t>W-BH-004</t>
        </is>
      </c>
      <c r="B88" s="16" t="inlineStr">
        <is>
          <t>Kế toán bán hàng</t>
        </is>
      </c>
      <c r="C88" s="16" t="inlineStr">
        <is>
          <t>Xuất bán POS 3.1.1</t>
        </is>
      </c>
      <c r="D88" s="16" t="inlineStr">
        <is>
          <t>/app/ban-hang/3-1-1</t>
        </is>
      </c>
      <c r="E88" s="16" t="inlineStr">
        <is>
          <t>Tích hợp</t>
        </is>
      </c>
      <c r="F88" s="16" t="inlineStr">
        <is>
          <t>Thuế GTGT theo % doanh thu</t>
        </is>
      </c>
      <c r="G88" s="16" t="inlineStr">
        <is>
          <t>Đăng nhập, đơn vị Phố Mây gói Standard, hộ kinh doanh TT152</t>
        </is>
      </c>
      <c r="H88" s="16" t="inlineStr">
        <is>
          <t>1. Mở một chứng từ
2. Xem cột thuế, dòng giảm thuế, phương thức thanh toán</t>
        </is>
      </c>
      <c r="I88" s="16" t="inlineStr">
        <is>
          <t>Không có cột thuế suất, tiền thuế; có dòng Giảm thuế GTGT = doanh thu × tỷ lệ ngành × 20%; tiền các phương thức chia theo tổng = doanh thu − giảm thuế</t>
        </is>
      </c>
      <c r="J88" s="16" t="inlineStr">
        <is>
          <t>Cao</t>
        </is>
      </c>
      <c r="K88" s="17" t="n"/>
      <c r="L88" s="17" t="inlineStr">
        <is>
          <t>Chưa test</t>
        </is>
      </c>
      <c r="M88" s="17" t="n"/>
      <c r="N88" s="18" t="n"/>
      <c r="O88" s="17" t="n"/>
    </row>
    <row r="89">
      <c r="A89" s="16" t="inlineStr">
        <is>
          <t>W-BH-005</t>
        </is>
      </c>
      <c r="B89" s="16" t="inlineStr">
        <is>
          <t>Kế toán bán hàng</t>
        </is>
      </c>
      <c r="C89" s="16" t="inlineStr">
        <is>
          <t>Xuất bán POS 3.1.1</t>
        </is>
      </c>
      <c r="D89" s="16" t="inlineStr">
        <is>
          <t>/app/ban-hang/3-1-1</t>
        </is>
      </c>
      <c r="E89" s="16" t="inlineStr">
        <is>
          <t>Tích hợp</t>
        </is>
      </c>
      <c r="F89" s="16" t="inlineStr">
        <is>
          <t>Khớp KQKD và trang chủ</t>
        </is>
      </c>
      <c r="G89" s="16" t="inlineStr">
        <is>
          <t>Đăng nhập, đơn vị Phố Mây gói Standard, hộ kinh doanh TT152</t>
        </is>
      </c>
      <c r="H89" s="16" t="inlineStr">
        <is>
          <t>1. Lọc tháng 10, cửa hàng A
2. So tổng với Doanh thu thuần trang chủ và KQKD 10.2.3</t>
        </is>
      </c>
      <c r="I89" s="16" t="inlineStr">
        <is>
          <t>Bằng nhau</t>
        </is>
      </c>
      <c r="J89" s="16" t="inlineStr">
        <is>
          <t>Cao</t>
        </is>
      </c>
      <c r="K89" s="17" t="n"/>
      <c r="L89" s="17" t="inlineStr">
        <is>
          <t>Chưa test</t>
        </is>
      </c>
      <c r="M89" s="17" t="n"/>
      <c r="N89" s="18" t="n"/>
      <c r="O89" s="17" t="n"/>
    </row>
    <row r="90">
      <c r="A90" s="16" t="inlineStr">
        <is>
          <t>W-BH-006</t>
        </is>
      </c>
      <c r="B90" s="16" t="inlineStr">
        <is>
          <t>Kế toán bán hàng</t>
        </is>
      </c>
      <c r="C90" s="16" t="inlineStr">
        <is>
          <t>Bán hàng (chung)</t>
        </is>
      </c>
      <c r="D90" s="16" t="inlineStr">
        <is>
          <t>/app/ban-hang</t>
        </is>
      </c>
      <c r="E90" s="16" t="inlineStr">
        <is>
          <t>Hiển thị</t>
        </is>
      </c>
      <c r="F90" s="16" t="inlineStr">
        <is>
          <t>Màn bán hàng ẩn ở gói Standard</t>
        </is>
      </c>
      <c r="G90" s="16" t="inlineStr">
        <is>
          <t>Đăng nhập, đơn vị Phố Mây gói Standard, hộ kinh doanh TT152</t>
        </is>
      </c>
      <c r="H90" s="16" t="inlineStr">
        <is>
          <t>1. Xem các tab phân hệ
2. Ctrl+K tìm 'hoa don', 'tra lai', 'cong no khach'</t>
        </is>
      </c>
      <c r="I90" s="16" t="inlineStr">
        <is>
          <t>Không có Bán hàng ngoài POS, Hoá đơn bán hàng, Hàng bán trả lại, Hoá đơn điện tử, Công nợ khách hàng</t>
        </is>
      </c>
      <c r="J90" s="16" t="inlineStr">
        <is>
          <t>Trung bình</t>
        </is>
      </c>
      <c r="K90" s="17" t="n"/>
      <c r="L90" s="17" t="inlineStr">
        <is>
          <t>Chưa test</t>
        </is>
      </c>
      <c r="M90" s="17" t="n"/>
      <c r="N90" s="18" t="n"/>
      <c r="O90" s="17" t="n"/>
    </row>
    <row r="91">
      <c r="A91" s="16" t="inlineStr">
        <is>
          <t>W-BH-007</t>
        </is>
      </c>
      <c r="B91" s="16" t="inlineStr">
        <is>
          <t>Kế toán bán hàng</t>
        </is>
      </c>
      <c r="C91" s="16" t="inlineStr">
        <is>
          <t>Tổng hợp bán hàng</t>
        </is>
      </c>
      <c r="D91" s="16" t="inlineStr">
        <is>
          <t>/app/ban-hang/3-2-7</t>
        </is>
      </c>
      <c r="E91" s="16" t="inlineStr">
        <is>
          <t>Tích hợp</t>
        </is>
      </c>
      <c r="F91" s="16" t="inlineStr">
        <is>
          <t>Tổng hợp khớp chứng từ</t>
        </is>
      </c>
      <c r="G91" s="16" t="inlineStr">
        <is>
          <t>Đăng nhập, đơn vị Phố Mây gói Standard, hộ kinh doanh TT152</t>
        </is>
      </c>
      <c r="H91" s="16" t="inlineStr">
        <is>
          <t>1. Mở báo cáo kỳ tháng 10
2. So tổng với danh sách 3.1.1</t>
        </is>
      </c>
      <c r="I91" s="16" t="inlineStr">
        <is>
          <t>Khớp tổng doanh thu; bấm số chứng từ mở phiếu</t>
        </is>
      </c>
      <c r="J91" s="16" t="inlineStr">
        <is>
          <t>Trung bình</t>
        </is>
      </c>
      <c r="K91" s="17" t="n"/>
      <c r="L91" s="17" t="inlineStr">
        <is>
          <t>Chưa test</t>
        </is>
      </c>
      <c r="M91" s="17" t="n"/>
      <c r="N91" s="18" t="n"/>
      <c r="O91" s="17" t="n"/>
    </row>
    <row r="92">
      <c r="A92" s="16" t="inlineStr">
        <is>
          <t>W-BH-008</t>
        </is>
      </c>
      <c r="B92" s="16" t="inlineStr">
        <is>
          <t>Kế toán bán hàng</t>
        </is>
      </c>
      <c r="C92" s="16" t="inlineStr">
        <is>
          <t>Bảng kê chi tiết bán hàng</t>
        </is>
      </c>
      <c r="D92" s="16" t="inlineStr">
        <is>
          <t>/app/ban-hang/3-2-8</t>
        </is>
      </c>
      <c r="E92" s="16" t="inlineStr">
        <is>
          <t>Tích hợp</t>
        </is>
      </c>
      <c r="F92" s="16" t="inlineStr">
        <is>
          <t>Bảng kê theo dòng món</t>
        </is>
      </c>
      <c r="G92" s="16" t="inlineStr">
        <is>
          <t>Đăng nhập, đơn vị Phố Mây gói Standard, hộ kinh doanh TT152</t>
        </is>
      </c>
      <c r="H92" s="16" t="inlineStr">
        <is>
          <t>1. Mở báo cáo
2. So một chứng từ</t>
        </is>
      </c>
      <c r="I92" s="16" t="inlineStr">
        <is>
          <t>Mỗi món một dòng, khớp chứng từ</t>
        </is>
      </c>
      <c r="J92" s="16" t="inlineStr">
        <is>
          <t>Trung bình</t>
        </is>
      </c>
      <c r="K92" s="17" t="n"/>
      <c r="L92" s="17" t="inlineStr">
        <is>
          <t>Chưa test</t>
        </is>
      </c>
      <c r="M92" s="17" t="n"/>
      <c r="N92" s="18" t="n"/>
      <c r="O92" s="17" t="n"/>
    </row>
    <row r="93">
      <c r="A93" s="16" t="inlineStr">
        <is>
          <t>W-BH-009</t>
        </is>
      </c>
      <c r="B93" s="16" t="inlineStr">
        <is>
          <t>Kế toán bán hàng</t>
        </is>
      </c>
      <c r="C93" s="16" t="inlineStr">
        <is>
          <t>Sổ doanh thu 3.2.5</t>
        </is>
      </c>
      <c r="D93" s="16" t="inlineStr">
        <is>
          <t>/app/ban-hang/3-2-5</t>
        </is>
      </c>
      <c r="E93" s="16" t="inlineStr">
        <is>
          <t>Ràng buộc</t>
        </is>
      </c>
      <c r="F93" s="16" t="inlineStr">
        <is>
          <t>Mẫu sổ theo chế độ, cách tính thuế</t>
        </is>
      </c>
      <c r="G93" s="16" t="inlineStr">
        <is>
          <t>Đăng nhập, đơn vị Phố Mây gói Standard, hộ kinh doanh TT152</t>
        </is>
      </c>
      <c r="H93" s="16" t="inlineStr">
        <is>
          <t>1. HKD nhóm 1: mở sổ
2. HKD nhóm 2 theo % doanh thu
3. HKD theo lợi nhuận
4. Doanh nghiệp TT58</t>
        </is>
      </c>
      <c r="I93" s="16" t="inlineStr">
        <is>
          <t>Nhóm 1: mẫu S1a-HKD. Theo doanh thu: S2a-HKD. Theo lợi nhuận: không có sổ. TT58: chỉ S1-DNSN</t>
        </is>
      </c>
      <c r="J93" s="16" t="inlineStr">
        <is>
          <t>Cao</t>
        </is>
      </c>
      <c r="K93" s="17" t="n"/>
      <c r="L93" s="17" t="inlineStr">
        <is>
          <t>Chưa test</t>
        </is>
      </c>
      <c r="M93" s="17" t="n"/>
      <c r="N93" s="18" t="n"/>
      <c r="O93" s="17" t="n"/>
    </row>
    <row r="94">
      <c r="A94" s="16" t="inlineStr">
        <is>
          <t>W-MH-001</t>
        </is>
      </c>
      <c r="B94" s="16" t="inlineStr">
        <is>
          <t>Kế toán mua hàng</t>
        </is>
      </c>
      <c r="C94" s="16" t="inlineStr">
        <is>
          <t>Quy trình</t>
        </is>
      </c>
      <c r="D94" s="16" t="inlineStr">
        <is>
          <t>/app/mua-hang/quy-trinh</t>
        </is>
      </c>
      <c r="E94" s="16" t="inlineStr">
        <is>
          <t>Hiển thị</t>
        </is>
      </c>
      <c r="F94" s="16" t="inlineStr">
        <is>
          <t>Sơ đồ quy trình mua hàng</t>
        </is>
      </c>
      <c r="G94" s="16" t="inlineStr">
        <is>
          <t>Đăng nhập, đơn vị Phố Mây gói Standard, hộ kinh doanh TT152</t>
        </is>
      </c>
      <c r="H94" s="16" t="inlineStr">
        <is>
          <t>1. Mở tab Quy trình</t>
        </is>
      </c>
      <c r="I94" s="16" t="inlineStr">
        <is>
          <t>Bấm từng bước mở đúng màn</t>
        </is>
      </c>
      <c r="J94" s="16" t="inlineStr">
        <is>
          <t>Thấp</t>
        </is>
      </c>
      <c r="K94" s="17" t="n"/>
      <c r="L94" s="17" t="inlineStr">
        <is>
          <t>Chưa test</t>
        </is>
      </c>
      <c r="M94" s="17" t="n"/>
      <c r="N94" s="18" t="n"/>
      <c r="O94" s="17" t="n"/>
    </row>
    <row r="95">
      <c r="A95" s="16" t="inlineStr">
        <is>
          <t>W-MH-002</t>
        </is>
      </c>
      <c r="B95" s="16" t="inlineStr">
        <is>
          <t>Kế toán mua hàng</t>
        </is>
      </c>
      <c r="C95" s="16" t="inlineStr">
        <is>
          <t>Phiếu mua hàng 4.1.1</t>
        </is>
      </c>
      <c r="D95" s="16" t="inlineStr">
        <is>
          <t>/app/mua-hang/4-1-1</t>
        </is>
      </c>
      <c r="E95" s="16" t="inlineStr">
        <is>
          <t>Chức năng</t>
        </is>
      </c>
      <c r="F95" s="16" t="inlineStr">
        <is>
          <t>Lập phiếu mua còn nợ</t>
        </is>
      </c>
      <c r="G95" s="16" t="inlineStr">
        <is>
          <t>Đăng nhập, đơn vị Phố Mây gói Standard, hộ kinh doanh TT152</t>
        </is>
      </c>
      <c r="H95" s="16" t="inlineStr">
        <is>
          <t>1. Thêm phiếu
2. Chọn NCC, kho, ngày, 2 dòng hàng
3. Không tích Đã thanh toán, lưu</t>
        </is>
      </c>
      <c r="I95" s="16" t="inlineStr">
        <is>
          <t>Số phiếu tiền tố MH; một kho ở đầu phiếu; có nút Thanh toán; công nợ NCC tăng</t>
        </is>
      </c>
      <c r="J95" s="16" t="inlineStr">
        <is>
          <t>Cao</t>
        </is>
      </c>
      <c r="K95" s="17" t="n"/>
      <c r="L95" s="17" t="inlineStr">
        <is>
          <t>Chưa test</t>
        </is>
      </c>
      <c r="M95" s="17" t="n"/>
      <c r="N95" s="18" t="n"/>
      <c r="O95" s="17" t="n"/>
    </row>
    <row r="96">
      <c r="A96" s="16" t="inlineStr">
        <is>
          <t>W-MH-003</t>
        </is>
      </c>
      <c r="B96" s="16" t="inlineStr">
        <is>
          <t>Kế toán mua hàng</t>
        </is>
      </c>
      <c r="C96" s="16" t="inlineStr">
        <is>
          <t>Phiếu mua hàng 4.1.1</t>
        </is>
      </c>
      <c r="D96" s="16" t="inlineStr">
        <is>
          <t>/app/mua-hang/4-1-1</t>
        </is>
      </c>
      <c r="E96" s="16" t="inlineStr">
        <is>
          <t>Tích hợp</t>
        </is>
      </c>
      <c r="F96" s="16" t="inlineStr">
        <is>
          <t>Đã thanh toán sinh phiếu chi</t>
        </is>
      </c>
      <c r="G96" s="16" t="inlineStr">
        <is>
          <t>Đăng nhập, đơn vị Phố Mây gói Standard, hộ kinh doanh TT152</t>
        </is>
      </c>
      <c r="H96" s="16" t="inlineStr">
        <is>
          <t>1. Lập phiếu, tích Đã thanh toán, chọn quỹ tiền mặt, lưu
2. Làm lại với tài khoản ngân hàng</t>
        </is>
      </c>
      <c r="I96" s="16" t="inlineStr">
        <is>
          <t>Tự lập phiếu chi (hoặc UNC) lý do Thanh toán công nợ NCC, tham chiếu hai chiều mở qua lại được</t>
        </is>
      </c>
      <c r="J96" s="16" t="inlineStr">
        <is>
          <t>Cao</t>
        </is>
      </c>
      <c r="K96" s="17" t="n"/>
      <c r="L96" s="17" t="inlineStr">
        <is>
          <t>Chưa test</t>
        </is>
      </c>
      <c r="M96" s="17" t="n"/>
      <c r="N96" s="18" t="n"/>
      <c r="O96" s="17" t="n"/>
    </row>
    <row r="97">
      <c r="A97" s="16" t="inlineStr">
        <is>
          <t>W-MH-004</t>
        </is>
      </c>
      <c r="B97" s="16" t="inlineStr">
        <is>
          <t>Kế toán mua hàng</t>
        </is>
      </c>
      <c r="C97" s="16" t="inlineStr">
        <is>
          <t>Phiếu mua hàng 4.1.1</t>
        </is>
      </c>
      <c r="D97" s="16" t="inlineStr">
        <is>
          <t>/app/mua-hang/4-1-1</t>
        </is>
      </c>
      <c r="E97" s="16" t="inlineStr">
        <is>
          <t>Ràng buộc</t>
        </is>
      </c>
      <c r="F97" s="16" t="inlineStr">
        <is>
          <t>Nhận kèm hoá đơn</t>
        </is>
      </c>
      <c r="G97" s="16" t="inlineStr">
        <is>
          <t>Đăng nhập, đơn vị Phố Mây gói Standard, hộ kinh doanh TT152</t>
        </is>
      </c>
      <c r="H97" s="16" t="inlineStr">
        <is>
          <t>1. Tích Nhận kèm hoá đơn
2. Để trống số, ký hiệu, ngày hoá đơn, lưu</t>
        </is>
      </c>
      <c r="I97" s="16" t="inlineStr">
        <is>
          <t>Báo thiếu, không lưu</t>
        </is>
      </c>
      <c r="J97" s="16" t="inlineStr">
        <is>
          <t>Cao</t>
        </is>
      </c>
      <c r="K97" s="17" t="n"/>
      <c r="L97" s="17" t="inlineStr">
        <is>
          <t>Chưa test</t>
        </is>
      </c>
      <c r="M97" s="17" t="n"/>
      <c r="N97" s="18" t="n"/>
      <c r="O97" s="17" t="n"/>
    </row>
    <row r="98">
      <c r="A98" s="16" t="inlineStr">
        <is>
          <t>W-MH-005</t>
        </is>
      </c>
      <c r="B98" s="16" t="inlineStr">
        <is>
          <t>Kế toán mua hàng</t>
        </is>
      </c>
      <c r="C98" s="16" t="inlineStr">
        <is>
          <t>Phiếu mua hàng 4.1.1</t>
        </is>
      </c>
      <c r="D98" s="16" t="inlineStr">
        <is>
          <t>/app/mua-hang/4-1-1</t>
        </is>
      </c>
      <c r="E98" s="16" t="inlineStr">
        <is>
          <t>Tích hợp</t>
        </is>
      </c>
      <c r="F98" s="16" t="inlineStr">
        <is>
          <t>HKD không khấu trừ thuế đầu vào</t>
        </is>
      </c>
      <c r="G98" s="16" t="inlineStr">
        <is>
          <t>Đăng nhập, đơn vị Phố Mây gói Standard, hộ kinh doanh TT152</t>
        </is>
      </c>
      <c r="H98" s="16" t="inlineStr">
        <is>
          <t>1. HKD lập phiếu có thuế GTGT
2. Xem giá trị nhập kho</t>
        </is>
      </c>
      <c r="I98" s="16" t="inlineStr">
        <is>
          <t>Giá trị nhập kho = tiền trước thuế + thuế</t>
        </is>
      </c>
      <c r="J98" s="16" t="inlineStr">
        <is>
          <t>Trung bình</t>
        </is>
      </c>
      <c r="K98" s="17" t="n"/>
      <c r="L98" s="17" t="inlineStr">
        <is>
          <t>Chưa test</t>
        </is>
      </c>
      <c r="M98" s="17" t="n"/>
      <c r="N98" s="18" t="n"/>
      <c r="O98" s="17" t="n"/>
    </row>
    <row r="99">
      <c r="A99" s="16" t="inlineStr">
        <is>
          <t>W-MH-006</t>
        </is>
      </c>
      <c r="B99" s="16" t="inlineStr">
        <is>
          <t>Kế toán mua hàng</t>
        </is>
      </c>
      <c r="C99" s="16" t="inlineStr">
        <is>
          <t>Phiếu mua hàng 4.1.1</t>
        </is>
      </c>
      <c r="D99" s="16" t="inlineStr">
        <is>
          <t>/app/mua-hang/4-1-1</t>
        </is>
      </c>
      <c r="E99" s="16" t="inlineStr">
        <is>
          <t>Ràng buộc</t>
        </is>
      </c>
      <c r="F99" s="16" t="inlineStr">
        <is>
          <t>Thanh toán phiếu còn nợ</t>
        </is>
      </c>
      <c r="G99" s="16" t="inlineStr">
        <is>
          <t>Đăng nhập, đơn vị Phố Mây gói Standard, hộ kinh doanh TT152</t>
        </is>
      </c>
      <c r="H99" s="16" t="inlineStr">
        <is>
          <t>1. Mở phiếu còn nợ, bấm Thanh toán
2. Nhập 0
3. Nhập lớn hơn số còn phải trả
4. Nhập hợp lệ</t>
        </is>
      </c>
      <c r="I99" s="16" t="inlineStr">
        <is>
          <t>Bước 2, 3 báo lỗi; bước 4 sinh phiếu chi, số còn nợ giảm</t>
        </is>
      </c>
      <c r="J99" s="16" t="inlineStr">
        <is>
          <t>Cao</t>
        </is>
      </c>
      <c r="K99" s="17" t="n"/>
      <c r="L99" s="17" t="inlineStr">
        <is>
          <t>Chưa test</t>
        </is>
      </c>
      <c r="M99" s="17" t="n"/>
      <c r="N99" s="18" t="n"/>
      <c r="O99" s="17" t="n"/>
    </row>
    <row r="100">
      <c r="A100" s="16" t="inlineStr">
        <is>
          <t>W-MH-007</t>
        </is>
      </c>
      <c r="B100" s="16" t="inlineStr">
        <is>
          <t>Kế toán mua hàng</t>
        </is>
      </c>
      <c r="C100" s="16" t="inlineStr">
        <is>
          <t>Phiếu mua hàng 4.1.1</t>
        </is>
      </c>
      <c r="D100" s="16" t="inlineStr">
        <is>
          <t>/app/mua-hang/4-1-1</t>
        </is>
      </c>
      <c r="E100" s="16" t="inlineStr">
        <is>
          <t>Ràng buộc</t>
        </is>
      </c>
      <c r="F100" s="16" t="inlineStr">
        <is>
          <t>Phiếu đã trả, tháng khoá sổ không sửa</t>
        </is>
      </c>
      <c r="G100" s="16" t="inlineStr">
        <is>
          <t>Đăng nhập, đơn vị Phố Mây gói Standard, hộ kinh doanh TT152</t>
        </is>
      </c>
      <c r="H100" s="16" t="inlineStr">
        <is>
          <t>1. Mở phiếu đã thanh toán, bấm Sửa
2. Mở phiếu tháng đã khoá</t>
        </is>
      </c>
      <c r="I100" s="16" t="inlineStr">
        <is>
          <t>Không sửa được</t>
        </is>
      </c>
      <c r="J100" s="16" t="inlineStr">
        <is>
          <t>Cao</t>
        </is>
      </c>
      <c r="K100" s="17" t="n"/>
      <c r="L100" s="17" t="inlineStr">
        <is>
          <t>Chưa test</t>
        </is>
      </c>
      <c r="M100" s="17" t="n"/>
      <c r="N100" s="18" t="n"/>
      <c r="O100" s="17" t="n"/>
    </row>
    <row r="101">
      <c r="A101" s="16" t="inlineStr">
        <is>
          <t>W-MH-008</t>
        </is>
      </c>
      <c r="B101" s="16" t="inlineStr">
        <is>
          <t>Kế toán mua hàng</t>
        </is>
      </c>
      <c r="C101" s="16" t="inlineStr">
        <is>
          <t>Phiếu mua hàng 4.1.1</t>
        </is>
      </c>
      <c r="D101" s="16" t="inlineStr">
        <is>
          <t>/app/mua-hang/4-1-1</t>
        </is>
      </c>
      <c r="E101" s="16" t="inlineStr">
        <is>
          <t>Ràng buộc</t>
        </is>
      </c>
      <c r="F101" s="16" t="inlineStr">
        <is>
          <t>Bắt buộc trên phiếu</t>
        </is>
      </c>
      <c r="G101" s="16" t="inlineStr">
        <is>
          <t>Đăng nhập, đơn vị Phố Mây gói Standard, hộ kinh doanh TT152</t>
        </is>
      </c>
      <c r="H101" s="16" t="inlineStr">
        <is>
          <t>1. Lưu thiếu NCC, kho hoặc không có dòng hàng
2. Số lượng 0</t>
        </is>
      </c>
      <c r="I101" s="16" t="inlineStr">
        <is>
          <t>Báo lỗi, không lưu</t>
        </is>
      </c>
      <c r="J101" s="16" t="inlineStr">
        <is>
          <t>Trung bình</t>
        </is>
      </c>
      <c r="K101" s="17" t="n"/>
      <c r="L101" s="17" t="inlineStr">
        <is>
          <t>Chưa test</t>
        </is>
      </c>
      <c r="M101" s="17" t="n"/>
      <c r="N101" s="18" t="n"/>
      <c r="O101" s="17" t="n"/>
    </row>
    <row r="102">
      <c r="A102" s="16" t="inlineStr">
        <is>
          <t>W-MH-009</t>
        </is>
      </c>
      <c r="B102" s="16" t="inlineStr">
        <is>
          <t>Kế toán mua hàng</t>
        </is>
      </c>
      <c r="C102" s="16" t="inlineStr">
        <is>
          <t>Công nợ NCC 4.2.3</t>
        </is>
      </c>
      <c r="D102" s="16" t="inlineStr">
        <is>
          <t>/app/mua-hang/4-2-3</t>
        </is>
      </c>
      <c r="E102" s="16" t="inlineStr">
        <is>
          <t>Tích hợp</t>
        </is>
      </c>
      <c r="F102" s="16" t="inlineStr">
        <is>
          <t>Công thức công nợ</t>
        </is>
      </c>
      <c r="G102" s="16" t="inlineStr">
        <is>
          <t>Đăng nhập, đơn vị Phố Mây gói Standard, hộ kinh doanh TT152</t>
        </is>
      </c>
      <c r="H102" s="16" t="inlineStr">
        <is>
          <t>1. Mở báo cáo kỳ tháng 10
2. Kiểm một NCC</t>
        </is>
      </c>
      <c r="I102" s="16" t="inlineStr">
        <is>
          <t>I Nợ đầu + II Tiền mua − III Trả hàng − IV Thanh toán = V Nợ cuối; tổng khớp trang chủ</t>
        </is>
      </c>
      <c r="J102" s="16" t="inlineStr">
        <is>
          <t>Cao</t>
        </is>
      </c>
      <c r="K102" s="17" t="n"/>
      <c r="L102" s="17" t="inlineStr">
        <is>
          <t>Chưa test</t>
        </is>
      </c>
      <c r="M102" s="17" t="n"/>
      <c r="N102" s="18" t="n"/>
      <c r="O102" s="17" t="n"/>
    </row>
    <row r="103">
      <c r="A103" s="16" t="inlineStr">
        <is>
          <t>W-MH-010</t>
        </is>
      </c>
      <c r="B103" s="16" t="inlineStr">
        <is>
          <t>Kế toán mua hàng</t>
        </is>
      </c>
      <c r="C103" s="16" t="inlineStr">
        <is>
          <t>Công nợ NCC 4.2.3</t>
        </is>
      </c>
      <c r="D103" s="16" t="inlineStr">
        <is>
          <t>/app/mua-hang/4-2-3</t>
        </is>
      </c>
      <c r="E103" s="16" t="inlineStr">
        <is>
          <t>Chức năng</t>
        </is>
      </c>
      <c r="F103" s="16" t="inlineStr">
        <is>
          <t>Xem gộp, lịch sử công nợ, thanh toán ngay</t>
        </is>
      </c>
      <c r="G103" s="16" t="inlineStr">
        <is>
          <t>Đăng nhập, đơn vị Phố Mây gói Standard, hộ kinh doanh TT152</t>
        </is>
      </c>
      <c r="H103" s="16" t="inlineStr">
        <is>
          <t>1. Chọn Tất cả cửa hàng
2. Bấm tên NCC
3. Bấm Thanh toán ngay</t>
        </is>
      </c>
      <c r="I103" s="16" t="inlineStr">
        <is>
          <t>Dưới mỗi NCC là từng cửa hàng. Lịch sử công nợ cộng khớp dòng báo cáo. Thanh toán ngay hỏi tiền mặt hay ngân hàng rồi mở phiếu chi</t>
        </is>
      </c>
      <c r="J103" s="16" t="inlineStr">
        <is>
          <t>Trung bình</t>
        </is>
      </c>
      <c r="K103" s="17" t="n"/>
      <c r="L103" s="17" t="inlineStr">
        <is>
          <t>Chưa test</t>
        </is>
      </c>
      <c r="M103" s="17" t="n"/>
      <c r="N103" s="18" t="n"/>
      <c r="O103" s="17" t="n"/>
    </row>
    <row r="104">
      <c r="A104" s="16" t="inlineStr">
        <is>
          <t>W-MH-011</t>
        </is>
      </c>
      <c r="B104" s="16" t="inlineStr">
        <is>
          <t>Kế toán mua hàng</t>
        </is>
      </c>
      <c r="C104" s="16" t="inlineStr">
        <is>
          <t>Bảng kê chi tiết mua hàng</t>
        </is>
      </c>
      <c r="D104" s="16" t="inlineStr">
        <is>
          <t>/app/mua-hang/4-2-7</t>
        </is>
      </c>
      <c r="E104" s="16" t="inlineStr">
        <is>
          <t>Tích hợp</t>
        </is>
      </c>
      <c r="F104" s="16" t="inlineStr">
        <is>
          <t>Bảng kê khớp phiếu</t>
        </is>
      </c>
      <c r="G104" s="16" t="inlineStr">
        <is>
          <t>Đăng nhập, đơn vị Phố Mây gói Standard, hộ kinh doanh TT152</t>
        </is>
      </c>
      <c r="H104" s="16" t="inlineStr">
        <is>
          <t>1. Mở báo cáo
2. So một phiếu 4.1.1</t>
        </is>
      </c>
      <c r="I104" s="16" t="inlineStr">
        <is>
          <t>Mỗi mặt hàng của phiếu một dòng, tổng khớp</t>
        </is>
      </c>
      <c r="J104" s="16" t="inlineStr">
        <is>
          <t>Trung bình</t>
        </is>
      </c>
      <c r="K104" s="17" t="n"/>
      <c r="L104" s="17" t="inlineStr">
        <is>
          <t>Chưa test</t>
        </is>
      </c>
      <c r="M104" s="17" t="n"/>
      <c r="N104" s="18" t="n"/>
      <c r="O104" s="17" t="n"/>
    </row>
    <row r="105">
      <c r="A105" s="16" t="inlineStr">
        <is>
          <t>W-KK-001</t>
        </is>
      </c>
      <c r="B105" s="16" t="inlineStr">
        <is>
          <t>Kiểm kê</t>
        </is>
      </c>
      <c r="C105" s="16" t="inlineStr">
        <is>
          <t>Quy trình</t>
        </is>
      </c>
      <c r="D105" s="16" t="inlineStr">
        <is>
          <t>/app/kho/quy-trinh</t>
        </is>
      </c>
      <c r="E105" s="16" t="inlineStr">
        <is>
          <t>Hiển thị</t>
        </is>
      </c>
      <c r="F105" s="16" t="inlineStr">
        <is>
          <t>Sơ đồ quy trình kiểm kê</t>
        </is>
      </c>
      <c r="G105" s="16" t="inlineStr">
        <is>
          <t>Đăng nhập, đơn vị Phố Mây gói Standard, hộ kinh doanh TT152</t>
        </is>
      </c>
      <c r="H105" s="16" t="inlineStr">
        <is>
          <t>1. Mở tab Quy trình</t>
        </is>
      </c>
      <c r="I105" s="16" t="inlineStr">
        <is>
          <t>Bấm từng bước mở đúng màn</t>
        </is>
      </c>
      <c r="J105" s="16" t="inlineStr">
        <is>
          <t>Thấp</t>
        </is>
      </c>
      <c r="K105" s="17" t="n"/>
      <c r="L105" s="17" t="inlineStr">
        <is>
          <t>Chưa test</t>
        </is>
      </c>
      <c r="M105" s="17" t="n"/>
      <c r="N105" s="18" t="n"/>
      <c r="O105" s="17" t="n"/>
    </row>
    <row r="106">
      <c r="A106" s="16" t="inlineStr">
        <is>
          <t>W-KK-002</t>
        </is>
      </c>
      <c r="B106" s="16" t="inlineStr">
        <is>
          <t>Kiểm kê</t>
        </is>
      </c>
      <c r="C106" s="16" t="inlineStr">
        <is>
          <t>Phiếu kiểm kê 5.1.10</t>
        </is>
      </c>
      <c r="D106" s="16" t="inlineStr">
        <is>
          <t>/app/kho/5-1-10</t>
        </is>
      </c>
      <c r="E106" s="16" t="inlineStr">
        <is>
          <t>Chức năng</t>
        </is>
      </c>
      <c r="F106" s="16" t="inlineStr">
        <is>
          <t>Lập phiếu kiểm kê theo số lượng</t>
        </is>
      </c>
      <c r="G106" s="16" t="inlineStr">
        <is>
          <t>Đăng nhập, đơn vị Phố Mây gói Standard, hộ kinh doanh TT152</t>
        </is>
      </c>
      <c r="H106" s="16" t="inlineStr">
        <is>
          <t>1. Thêm phiếu, chọn kho
2. Nhập tồn thực tế vài dòng, để trống vài dòng
3. Lưu</t>
        </is>
      </c>
      <c r="I106" s="16" t="inlineStr">
        <is>
          <t>Bảng có tồn hệ thống, thực tế, chênh lệch theo số lượng, không có tiền. Ô trống lấy tồn hệ thống (chênh 0)</t>
        </is>
      </c>
      <c r="J106" s="16" t="inlineStr">
        <is>
          <t>Cao</t>
        </is>
      </c>
      <c r="K106" s="17" t="n"/>
      <c r="L106" s="17" t="inlineStr">
        <is>
          <t>Chưa test</t>
        </is>
      </c>
      <c r="M106" s="17" t="n"/>
      <c r="N106" s="18" t="n"/>
      <c r="O106" s="17" t="n"/>
    </row>
    <row r="107">
      <c r="A107" s="16" t="inlineStr">
        <is>
          <t>W-KK-003</t>
        </is>
      </c>
      <c r="B107" s="16" t="inlineStr">
        <is>
          <t>Kiểm kê</t>
        </is>
      </c>
      <c r="C107" s="16" t="inlineStr">
        <is>
          <t>Phiếu kiểm kê 5.1.10</t>
        </is>
      </c>
      <c r="D107" s="16" t="inlineStr">
        <is>
          <t>/app/kho/5-1-10</t>
        </is>
      </c>
      <c r="E107" s="16" t="inlineStr">
        <is>
          <t>Tích hợp</t>
        </is>
      </c>
      <c r="F107" s="16" t="inlineStr">
        <is>
          <t>Sinh phiếu điều chỉnh</t>
        </is>
      </c>
      <c r="G107" s="16" t="inlineStr">
        <is>
          <t>Đăng nhập, đơn vị Phố Mây gói Standard, hộ kinh doanh TT152</t>
        </is>
      </c>
      <c r="H107" s="16" t="inlineStr">
        <is>
          <t>1. Lưu phiếu KK2610-0256 có dòng thiếu và dòng thừa
2. Mở tab Xuất, nhập điều chỉnh</t>
        </is>
      </c>
      <c r="I107" s="16" t="inlineStr">
        <is>
          <t>Có XDC2610-0256 cho phần thiếu, NDC2610-0256 cho phần thừa</t>
        </is>
      </c>
      <c r="J107" s="16" t="inlineStr">
        <is>
          <t>Cao</t>
        </is>
      </c>
      <c r="K107" s="17" t="n"/>
      <c r="L107" s="17" t="inlineStr">
        <is>
          <t>Chưa test</t>
        </is>
      </c>
      <c r="M107" s="17" t="n"/>
      <c r="N107" s="18" t="n"/>
      <c r="O107" s="17" t="n"/>
    </row>
    <row r="108">
      <c r="A108" s="16" t="inlineStr">
        <is>
          <t>W-KK-004</t>
        </is>
      </c>
      <c r="B108" s="16" t="inlineStr">
        <is>
          <t>Kiểm kê</t>
        </is>
      </c>
      <c r="C108" s="16" t="inlineStr">
        <is>
          <t>Phiếu kiểm kê 5.1.10</t>
        </is>
      </c>
      <c r="D108" s="16" t="inlineStr">
        <is>
          <t>/app/kho/5-1-10</t>
        </is>
      </c>
      <c r="E108" s="16" t="inlineStr">
        <is>
          <t>Ràng buộc</t>
        </is>
      </c>
      <c r="F108" s="16" t="inlineStr">
        <is>
          <t>Sửa, xoá phiếu đã sinh điều chỉnh</t>
        </is>
      </c>
      <c r="G108" s="16" t="inlineStr">
        <is>
          <t>Đăng nhập, đơn vị Phố Mây gói Standard, hộ kinh doanh TT152</t>
        </is>
      </c>
      <c r="H108" s="16" t="inlineStr">
        <is>
          <t>1. Mở phiếu đã sinh điều chỉnh, bấm Sửa
2. Xoá phiếu</t>
        </is>
      </c>
      <c r="I108" s="16" t="inlineStr">
        <is>
          <t>Không sửa được. Xoá thì xoá luôn hai phiếu điều chỉnh</t>
        </is>
      </c>
      <c r="J108" s="16" t="inlineStr">
        <is>
          <t>Cao</t>
        </is>
      </c>
      <c r="K108" s="17" t="n"/>
      <c r="L108" s="17" t="inlineStr">
        <is>
          <t>Chưa test</t>
        </is>
      </c>
      <c r="M108" s="17" t="n"/>
      <c r="N108" s="18" t="n"/>
      <c r="O108" s="17" t="n"/>
    </row>
    <row r="109">
      <c r="A109" s="16" t="inlineStr">
        <is>
          <t>W-KK-005</t>
        </is>
      </c>
      <c r="B109" s="16" t="inlineStr">
        <is>
          <t>Kiểm kê</t>
        </is>
      </c>
      <c r="C109" s="16" t="inlineStr">
        <is>
          <t>Xuất, nhập điều chỉnh</t>
        </is>
      </c>
      <c r="D109" s="16" t="inlineStr">
        <is>
          <t>/app/kho/dieu-chinh</t>
        </is>
      </c>
      <c r="E109" s="16" t="inlineStr">
        <is>
          <t>Ràng buộc</t>
        </is>
      </c>
      <c r="F109" s="16" t="inlineStr">
        <is>
          <t>Chỉ xem, không có giá trị</t>
        </is>
      </c>
      <c r="G109" s="16" t="inlineStr">
        <is>
          <t>Đăng nhập, đơn vị Phố Mây gói Standard, hộ kinh doanh TT152</t>
        </is>
      </c>
      <c r="H109" s="16" t="inlineStr">
        <is>
          <t>1. Mở tab
2. Mở một phiếu</t>
        </is>
      </c>
      <c r="I109" s="16" t="inlineStr">
        <is>
          <t>Không có Thêm, Sửa; không hiện giá trị tiền</t>
        </is>
      </c>
      <c r="J109" s="16" t="inlineStr">
        <is>
          <t>Trung bình</t>
        </is>
      </c>
      <c r="K109" s="17" t="n"/>
      <c r="L109" s="17" t="inlineStr">
        <is>
          <t>Chưa test</t>
        </is>
      </c>
      <c r="M109" s="17" t="n"/>
      <c r="N109" s="18" t="n"/>
      <c r="O109" s="17" t="n"/>
    </row>
    <row r="110">
      <c r="A110" s="16" t="inlineStr">
        <is>
          <t>W-KK-006</t>
        </is>
      </c>
      <c r="B110" s="16" t="inlineStr">
        <is>
          <t>Kiểm kê</t>
        </is>
      </c>
      <c r="C110" s="16" t="inlineStr">
        <is>
          <t>Xuất nhập tồn 5.2.3</t>
        </is>
      </c>
      <c r="D110" s="16" t="inlineStr">
        <is>
          <t>/app/kho/5-2-3</t>
        </is>
      </c>
      <c r="E110" s="16" t="inlineStr">
        <is>
          <t>Tích hợp</t>
        </is>
      </c>
      <c r="F110" s="16" t="inlineStr">
        <is>
          <t>Chỉ số lượng, khớp kiểm kê</t>
        </is>
      </c>
      <c r="G110" s="16" t="inlineStr">
        <is>
          <t>Đăng nhập, đơn vị Phố Mây gói Standard, hộ kinh doanh TT152</t>
        </is>
      </c>
      <c r="H110" s="16" t="inlineStr">
        <is>
          <t>1. Mở báo cáo
2. Đổi cửa hàng trên thanh trên</t>
        </is>
      </c>
      <c r="I110" s="16" t="inlineStr">
        <is>
          <t>Cột đầu kỳ, nhập, xuất, cuối kỳ chỉ số lượng, không giá trị, không dòng tổng. Kho đổi theo cửa hàng</t>
        </is>
      </c>
      <c r="J110" s="16" t="inlineStr">
        <is>
          <t>Cao</t>
        </is>
      </c>
      <c r="K110" s="17" t="n"/>
      <c r="L110" s="17" t="inlineStr">
        <is>
          <t>Chưa test</t>
        </is>
      </c>
      <c r="M110" s="17" t="n"/>
      <c r="N110" s="18" t="n"/>
      <c r="O110" s="17" t="n"/>
    </row>
    <row r="111">
      <c r="A111" s="16" t="inlineStr">
        <is>
          <t>W-KK-007</t>
        </is>
      </c>
      <c r="B111" s="16" t="inlineStr">
        <is>
          <t>Kiểm kê</t>
        </is>
      </c>
      <c r="C111" s="16" t="inlineStr">
        <is>
          <t>Xuất nhập tồn 5.2.3</t>
        </is>
      </c>
      <c r="D111" s="16" t="inlineStr">
        <is>
          <t>/app/kho/5-2-3</t>
        </is>
      </c>
      <c r="E111" s="16" t="inlineStr">
        <is>
          <t>Chức năng</t>
        </is>
      </c>
      <c r="F111" s="16" t="inlineStr">
        <is>
          <t>Mở Thẻ kho 5.2.1</t>
        </is>
      </c>
      <c r="G111" s="16" t="inlineStr">
        <is>
          <t>Đăng nhập, đơn vị Phố Mây gói Standard, hộ kinh doanh TT152</t>
        </is>
      </c>
      <c r="H111" s="16" t="inlineStr">
        <is>
          <t>1. Bấm mã hàng
2. Xem danh sách báo cáo</t>
        </is>
      </c>
      <c r="I111" s="16" t="inlineStr">
        <is>
          <t>Mở Thẻ kho cùng hàng, kho, kỳ. Thẻ kho không có trong danh sách báo cáo</t>
        </is>
      </c>
      <c r="J111" s="16" t="inlineStr">
        <is>
          <t>Trung bình</t>
        </is>
      </c>
      <c r="K111" s="17" t="n"/>
      <c r="L111" s="17" t="inlineStr">
        <is>
          <t>Chưa test</t>
        </is>
      </c>
      <c r="M111" s="17" t="n"/>
      <c r="N111" s="18" t="n"/>
      <c r="O111" s="17" t="n"/>
    </row>
    <row r="112">
      <c r="A112" s="16" t="inlineStr">
        <is>
          <t>W-KK-008</t>
        </is>
      </c>
      <c r="B112" s="16" t="inlineStr">
        <is>
          <t>Kiểm kê</t>
        </is>
      </c>
      <c r="C112" s="16" t="inlineStr">
        <is>
          <t>Tổng hợp nhập kho 5.2.9</t>
        </is>
      </c>
      <c r="D112" s="16" t="inlineStr">
        <is>
          <t>/app/kho/5-2-9</t>
        </is>
      </c>
      <c r="E112" s="16" t="inlineStr">
        <is>
          <t>Tích hợp</t>
        </is>
      </c>
      <c r="F112" s="16" t="inlineStr">
        <is>
          <t>Tổng hợp nhập khớp phiếu mua, nhập điều chỉnh</t>
        </is>
      </c>
      <c r="G112" s="16" t="inlineStr">
        <is>
          <t>Đăng nhập, đơn vị Phố Mây gói Standard, hộ kinh doanh TT152</t>
        </is>
      </c>
      <c r="H112" s="16" t="inlineStr">
        <is>
          <t>1. Mở báo cáo kỳ tháng 10</t>
        </is>
      </c>
      <c r="I112" s="16" t="inlineStr">
        <is>
          <t>Khớp tổng số lượng phiếu nhập trong kỳ</t>
        </is>
      </c>
      <c r="J112" s="16" t="inlineStr">
        <is>
          <t>Trung bình</t>
        </is>
      </c>
      <c r="K112" s="17" t="n"/>
      <c r="L112" s="17" t="inlineStr">
        <is>
          <t>Chưa test</t>
        </is>
      </c>
      <c r="M112" s="17" t="n"/>
      <c r="N112" s="18" t="n"/>
      <c r="O112" s="17" t="n"/>
    </row>
    <row r="113">
      <c r="A113" s="16" t="inlineStr">
        <is>
          <t>W-KK-009</t>
        </is>
      </c>
      <c r="B113" s="16" t="inlineStr">
        <is>
          <t>Kiểm kê</t>
        </is>
      </c>
      <c r="C113" s="16" t="inlineStr">
        <is>
          <t>Chi tiết nhập kho 5.2.10</t>
        </is>
      </c>
      <c r="D113" s="16" t="inlineStr">
        <is>
          <t>/app/kho/5-2-10</t>
        </is>
      </c>
      <c r="E113" s="16" t="inlineStr">
        <is>
          <t>Tích hợp</t>
        </is>
      </c>
      <c r="F113" s="16" t="inlineStr">
        <is>
          <t>Chi tiết nhập kho</t>
        </is>
      </c>
      <c r="G113" s="16" t="inlineStr">
        <is>
          <t>Đăng nhập, đơn vị Phố Mây gói Standard, hộ kinh doanh TT152</t>
        </is>
      </c>
      <c r="H113" s="16" t="inlineStr">
        <is>
          <t>1. Mở báo cáo
2. Bấm số chứng từ</t>
        </is>
      </c>
      <c r="I113" s="16" t="inlineStr">
        <is>
          <t>Mỗi dòng nhập một dòng; bấm mở phiếu</t>
        </is>
      </c>
      <c r="J113" s="16" t="inlineStr">
        <is>
          <t>Trung bình</t>
        </is>
      </c>
      <c r="K113" s="17" t="n"/>
      <c r="L113" s="17" t="inlineStr">
        <is>
          <t>Chưa test</t>
        </is>
      </c>
      <c r="M113" s="17" t="n"/>
      <c r="N113" s="18" t="n"/>
      <c r="O113" s="17" t="n"/>
    </row>
    <row r="114">
      <c r="A114" s="16" t="inlineStr">
        <is>
          <t>W-KK-010</t>
        </is>
      </c>
      <c r="B114" s="16" t="inlineStr">
        <is>
          <t>Kiểm kê</t>
        </is>
      </c>
      <c r="C114" s="16" t="inlineStr">
        <is>
          <t>Báo cáo kiểm kê 5.2.15</t>
        </is>
      </c>
      <c r="D114" s="16" t="inlineStr">
        <is>
          <t>/app/kho/5-2-15</t>
        </is>
      </c>
      <c r="E114" s="16" t="inlineStr">
        <is>
          <t>Tích hợp</t>
        </is>
      </c>
      <c r="F114" s="16" t="inlineStr">
        <is>
          <t>Báo cáo kiểm kê khớp phiếu</t>
        </is>
      </c>
      <c r="G114" s="16" t="inlineStr">
        <is>
          <t>Đăng nhập, đơn vị Phố Mây gói Standard, hộ kinh doanh TT152</t>
        </is>
      </c>
      <c r="H114" s="16" t="inlineStr">
        <is>
          <t>1. Mở báo cáo tháng có phiếu kiểm kê</t>
        </is>
      </c>
      <c r="I114" s="16" t="inlineStr">
        <is>
          <t>Thiếu, thừa theo số lượng khớp phiếu và khối Hao hụt trang chủ</t>
        </is>
      </c>
      <c r="J114" s="16" t="inlineStr">
        <is>
          <t>Trung bình</t>
        </is>
      </c>
      <c r="K114" s="17" t="n"/>
      <c r="L114" s="17" t="inlineStr">
        <is>
          <t>Chưa test</t>
        </is>
      </c>
      <c r="M114" s="17" t="n"/>
      <c r="N114" s="18" t="n"/>
      <c r="O114" s="17" t="n"/>
    </row>
    <row r="115">
      <c r="A115" s="16" t="inlineStr">
        <is>
          <t>W-KK-011</t>
        </is>
      </c>
      <c r="B115" s="16" t="inlineStr">
        <is>
          <t>Kiểm kê</t>
        </is>
      </c>
      <c r="C115" s="16" t="inlineStr">
        <is>
          <t>Kiểm kê (chung)</t>
        </is>
      </c>
      <c r="D115" s="16" t="inlineStr">
        <is>
          <t>/app/kho/bao-cao</t>
        </is>
      </c>
      <c r="E115" s="16" t="inlineStr">
        <is>
          <t>Hiển thị</t>
        </is>
      </c>
      <c r="F115" s="16" t="inlineStr">
        <is>
          <t>Báo cáo kho ẩn</t>
        </is>
      </c>
      <c r="G115" s="16" t="inlineStr">
        <is>
          <t>Đăng nhập, đơn vị Phố Mây gói Standard, hộ kinh doanh TT152</t>
        </is>
      </c>
      <c r="H115" s="16" t="inlineStr">
        <is>
          <t>1. Mở tab Báo cáo</t>
        </is>
      </c>
      <c r="I115" s="16" t="inlineStr">
        <is>
          <t>Không có Tổng hợp xuất kho, Chi tiết xuất kho</t>
        </is>
      </c>
      <c r="J115" s="16" t="inlineStr">
        <is>
          <t>Thấp</t>
        </is>
      </c>
      <c r="K115" s="17" t="n"/>
      <c r="L115" s="17" t="inlineStr">
        <is>
          <t>Chưa test</t>
        </is>
      </c>
      <c r="M115" s="17" t="n"/>
      <c r="N115" s="18" t="n"/>
      <c r="O115" s="17" t="n"/>
    </row>
    <row r="116">
      <c r="A116" s="16" t="inlineStr">
        <is>
          <t>W-PB-001</t>
        </is>
      </c>
      <c r="B116" s="16" t="inlineStr">
        <is>
          <t>Chi phí phân bổ</t>
        </is>
      </c>
      <c r="C116" s="16" t="inlineStr">
        <is>
          <t>Quy trình</t>
        </is>
      </c>
      <c r="D116" s="16" t="inlineStr">
        <is>
          <t>/app/ccdc/quy-trinh</t>
        </is>
      </c>
      <c r="E116" s="16" t="inlineStr">
        <is>
          <t>Hiển thị</t>
        </is>
      </c>
      <c r="F116" s="16" t="inlineStr">
        <is>
          <t>Sơ đồ quy trình chi phí phân bổ</t>
        </is>
      </c>
      <c r="G116" s="16" t="inlineStr">
        <is>
          <t>Đăng nhập, đơn vị Phố Mây gói Standard, hộ kinh doanh TT152</t>
        </is>
      </c>
      <c r="H116" s="16" t="inlineStr">
        <is>
          <t>1. Mở tab Quy trình</t>
        </is>
      </c>
      <c r="I116" s="16" t="inlineStr">
        <is>
          <t>Bấm từng bước mở đúng màn</t>
        </is>
      </c>
      <c r="J116" s="16" t="inlineStr">
        <is>
          <t>Thấp</t>
        </is>
      </c>
      <c r="K116" s="17" t="n"/>
      <c r="L116" s="17" t="inlineStr">
        <is>
          <t>Chưa test</t>
        </is>
      </c>
      <c r="M116" s="17" t="n"/>
      <c r="N116" s="18" t="n"/>
      <c r="O116" s="17" t="n"/>
    </row>
    <row r="117">
      <c r="A117" s="16" t="inlineStr">
        <is>
          <t>W-PB-002</t>
        </is>
      </c>
      <c r="B117" s="16" t="inlineStr">
        <is>
          <t>Chi phí phân bổ</t>
        </is>
      </c>
      <c r="C117" s="16" t="inlineStr">
        <is>
          <t>Chi phí phân bổ 8.1.1</t>
        </is>
      </c>
      <c r="D117" s="16" t="inlineStr">
        <is>
          <t>/app/ccdc/8-1-1</t>
        </is>
      </c>
      <c r="E117" s="16" t="inlineStr">
        <is>
          <t>Hiển thị</t>
        </is>
      </c>
      <c r="F117" s="16" t="inlineStr">
        <is>
          <t>Chỉ thẻ Chi phí trả trước</t>
        </is>
      </c>
      <c r="G117" s="16" t="inlineStr">
        <is>
          <t>Đăng nhập, đơn vị Phố Mây gói Standard, hộ kinh doanh TT152</t>
        </is>
      </c>
      <c r="H117" s="16" t="inlineStr">
        <is>
          <t>1. Mở màn</t>
        </is>
      </c>
      <c r="I117" s="16" t="inlineStr">
        <is>
          <t>Không có CCDC, TSCĐ; có 2 kiểu thẻ: ghi tăng (TPB{YY}{MM}-{0000}) và dư đầu kỳ (TPBDK...)</t>
        </is>
      </c>
      <c r="J117" s="16" t="inlineStr">
        <is>
          <t>Cao</t>
        </is>
      </c>
      <c r="K117" s="17" t="n"/>
      <c r="L117" s="17" t="inlineStr">
        <is>
          <t>Chưa test</t>
        </is>
      </c>
      <c r="M117" s="17" t="n"/>
      <c r="N117" s="18" t="n"/>
      <c r="O117" s="17" t="n"/>
    </row>
    <row r="118">
      <c r="A118" s="16" t="inlineStr">
        <is>
          <t>W-PB-003</t>
        </is>
      </c>
      <c r="B118" s="16" t="inlineStr">
        <is>
          <t>Chi phí phân bổ</t>
        </is>
      </c>
      <c r="C118" s="16" t="inlineStr">
        <is>
          <t>Chi phí phân bổ 8.1.1</t>
        </is>
      </c>
      <c r="D118" s="16" t="inlineStr">
        <is>
          <t>/app/ccdc/8-1-1</t>
        </is>
      </c>
      <c r="E118" s="16" t="inlineStr">
        <is>
          <t>Chức năng</t>
        </is>
      </c>
      <c r="F118" s="16" t="inlineStr">
        <is>
          <t>Ghi tăng hàng loạt từ phiếu chờ</t>
        </is>
      </c>
      <c r="G118" s="16" t="inlineStr">
        <is>
          <t>Đăng nhập, đơn vị Phố Mây gói Standard, hộ kinh doanh TT152</t>
        </is>
      </c>
      <c r="H118" s="16" t="inlineStr">
        <is>
          <t>1. Có 2 phiếu chi lý do Chi phí chờ phân bổ chưa có thẻ
2. Bấm Ghi tăng hàng loạt</t>
        </is>
      </c>
      <c r="I118" s="16" t="inlineStr">
        <is>
          <t>Tạo 2 thẻ, phiếu không còn trong danh sách chờ</t>
        </is>
      </c>
      <c r="J118" s="16" t="inlineStr">
        <is>
          <t>Cao</t>
        </is>
      </c>
      <c r="K118" s="17" t="n"/>
      <c r="L118" s="17" t="inlineStr">
        <is>
          <t>Chưa test</t>
        </is>
      </c>
      <c r="M118" s="17" t="n"/>
      <c r="N118" s="18" t="n"/>
      <c r="O118" s="17" t="n"/>
    </row>
    <row r="119">
      <c r="A119" s="16" t="inlineStr">
        <is>
          <t>W-PB-004</t>
        </is>
      </c>
      <c r="B119" s="16" t="inlineStr">
        <is>
          <t>Chi phí phân bổ</t>
        </is>
      </c>
      <c r="C119" s="16" t="inlineStr">
        <is>
          <t>Chi phí phân bổ 8.1.1</t>
        </is>
      </c>
      <c r="D119" s="16" t="inlineStr">
        <is>
          <t>/app/ccdc/8-1-1</t>
        </is>
      </c>
      <c r="E119" s="16" t="inlineStr">
        <is>
          <t>Tích hợp</t>
        </is>
      </c>
      <c r="F119" s="16" t="inlineStr">
        <is>
          <t>Lịch phân bổ đều theo tháng</t>
        </is>
      </c>
      <c r="G119" s="16" t="inlineStr">
        <is>
          <t>Đăng nhập, đơn vị Phố Mây gói Standard, hộ kinh doanh TT152</t>
        </is>
      </c>
      <c r="H119" s="16" t="inlineStr">
        <is>
          <t>1. Thẻ 10.000.000 phân bổ 3 tháng
2. Xem lịch</t>
        </is>
      </c>
      <c r="I119" s="16" t="inlineStr">
        <is>
          <t>Mỗi kỳ ngày cuối tháng, 3.333.333 / 3.333.333 / 3.333.334 (kỳ cuối nhận phần lẻ)</t>
        </is>
      </c>
      <c r="J119" s="16" t="inlineStr">
        <is>
          <t>Cao</t>
        </is>
      </c>
      <c r="K119" s="17" t="n"/>
      <c r="L119" s="17" t="inlineStr">
        <is>
          <t>Chưa test</t>
        </is>
      </c>
      <c r="M119" s="17" t="n"/>
      <c r="N119" s="18" t="n"/>
      <c r="O119" s="17" t="n"/>
    </row>
    <row r="120">
      <c r="A120" s="16" t="inlineStr">
        <is>
          <t>W-PB-005</t>
        </is>
      </c>
      <c r="B120" s="16" t="inlineStr">
        <is>
          <t>Chi phí phân bổ</t>
        </is>
      </c>
      <c r="C120" s="16" t="inlineStr">
        <is>
          <t>Chi phí phân bổ 8.1.1</t>
        </is>
      </c>
      <c r="D120" s="16" t="inlineStr">
        <is>
          <t>/app/ccdc/8-1-1</t>
        </is>
      </c>
      <c r="E120" s="16" t="inlineStr">
        <is>
          <t>Chức năng</t>
        </is>
      </c>
      <c r="F120" s="16" t="inlineStr">
        <is>
          <t>Trạng thái kỳ, ngừng phân bổ</t>
        </is>
      </c>
      <c r="G120" s="16" t="inlineStr">
        <is>
          <t>Đăng nhập, đơn vị Phố Mây gói Standard, hộ kinh doanh TT152</t>
        </is>
      </c>
      <c r="H120" s="16" t="inlineStr">
        <is>
          <t>1. Xem trạng thái các kỳ
2. Ngừng phân bổ từ một tháng</t>
        </is>
      </c>
      <c r="I120" s="16" t="inlineStr">
        <is>
          <t>Không có bước kích hoạt: kỳ tới tháng hiện tại là Đã phân bổ, kỳ sau Chờ phân bổ. Ngừng nhập theo tháng, kỳ sau đó không phân bổ</t>
        </is>
      </c>
      <c r="J120" s="16" t="inlineStr">
        <is>
          <t>Trung bình</t>
        </is>
      </c>
      <c r="K120" s="17" t="n"/>
      <c r="L120" s="17" t="inlineStr">
        <is>
          <t>Chưa test</t>
        </is>
      </c>
      <c r="M120" s="17" t="n"/>
      <c r="N120" s="18" t="n"/>
      <c r="O120" s="17" t="n"/>
    </row>
    <row r="121">
      <c r="A121" s="16" t="inlineStr">
        <is>
          <t>W-PB-006</t>
        </is>
      </c>
      <c r="B121" s="16" t="inlineStr">
        <is>
          <t>Chi phí phân bổ</t>
        </is>
      </c>
      <c r="C121" s="16" t="inlineStr">
        <is>
          <t>Chi phí phân bổ 8.1.1</t>
        </is>
      </c>
      <c r="D121" s="16" t="inlineStr">
        <is>
          <t>/app/ccdc/8-1-1</t>
        </is>
      </c>
      <c r="E121" s="16" t="inlineStr">
        <is>
          <t>Ràng buộc</t>
        </is>
      </c>
      <c r="F121" s="16" t="inlineStr">
        <is>
          <t>Xoá thẻ theo khoá sổ</t>
        </is>
      </c>
      <c r="G121" s="16" t="inlineStr">
        <is>
          <t>Đăng nhập, đơn vị Phố Mây gói Standard, hộ kinh doanh TT152</t>
        </is>
      </c>
      <c r="H121" s="16" t="inlineStr">
        <is>
          <t>1. Thẻ bắt đầu tháng 9, đã khoá tháng 9: xoá
2. Thẻ bắt đầu tháng 11, khoá tới tháng 9: xoá</t>
        </is>
      </c>
      <c r="I121" s="16" t="inlineStr">
        <is>
          <t>Bước 1 chặn xoá. Bước 2 xoá được</t>
        </is>
      </c>
      <c r="J121" s="16" t="inlineStr">
        <is>
          <t>Cao</t>
        </is>
      </c>
      <c r="K121" s="17" t="n"/>
      <c r="L121" s="17" t="inlineStr">
        <is>
          <t>Chưa test</t>
        </is>
      </c>
      <c r="M121" s="17" t="n"/>
      <c r="N121" s="18" t="n"/>
      <c r="O121" s="17" t="n"/>
    </row>
    <row r="122">
      <c r="A122" s="16" t="inlineStr">
        <is>
          <t>W-PB-007</t>
        </is>
      </c>
      <c r="B122" s="16" t="inlineStr">
        <is>
          <t>Chi phí phân bổ</t>
        </is>
      </c>
      <c r="C122" s="16" t="inlineStr">
        <is>
          <t>Chi phí phân bổ 8.1.1</t>
        </is>
      </c>
      <c r="D122" s="16" t="inlineStr">
        <is>
          <t>/app/ccdc/8-1-1</t>
        </is>
      </c>
      <c r="E122" s="16" t="inlineStr">
        <is>
          <t>Tích hợp</t>
        </is>
      </c>
      <c r="F122" s="16" t="inlineStr">
        <is>
          <t>Khớp trang chủ</t>
        </is>
      </c>
      <c r="G122" s="16" t="inlineStr">
        <is>
          <t>Đăng nhập, đơn vị Phố Mây gói Standard, hộ kinh doanh TT152</t>
        </is>
      </c>
      <c r="H122" s="16" t="inlineStr">
        <is>
          <t>1. Cộng phần phân bổ tháng 10
2. So dòng Chi phí phân bổ trang chủ</t>
        </is>
      </c>
      <c r="I122" s="16" t="inlineStr">
        <is>
          <t>Bằng nhau</t>
        </is>
      </c>
      <c r="J122" s="16" t="inlineStr">
        <is>
          <t>Trung bình</t>
        </is>
      </c>
      <c r="K122" s="17" t="n"/>
      <c r="L122" s="17" t="inlineStr">
        <is>
          <t>Chưa test</t>
        </is>
      </c>
      <c r="M122" s="17" t="n"/>
      <c r="N122" s="18" t="n"/>
      <c r="O122" s="17" t="n"/>
    </row>
    <row r="123">
      <c r="A123" s="16" t="inlineStr">
        <is>
          <t>W-TH-001</t>
        </is>
      </c>
      <c r="B123" s="16" t="inlineStr">
        <is>
          <t>Kê khai thuế</t>
        </is>
      </c>
      <c r="C123" s="16" t="inlineStr">
        <is>
          <t>Quy trình</t>
        </is>
      </c>
      <c r="D123" s="16" t="inlineStr">
        <is>
          <t>/app/thue/quy-trinh</t>
        </is>
      </c>
      <c r="E123" s="16" t="inlineStr">
        <is>
          <t>Hiển thị</t>
        </is>
      </c>
      <c r="F123" s="16" t="inlineStr">
        <is>
          <t>Sơ đồ quy trình kê khai</t>
        </is>
      </c>
      <c r="G123" s="16" t="inlineStr">
        <is>
          <t>Đăng nhập, đơn vị Phố Mây gói Standard, hộ kinh doanh TT152</t>
        </is>
      </c>
      <c r="H123" s="16" t="inlineStr">
        <is>
          <t>1. Mở tab Quy trình</t>
        </is>
      </c>
      <c r="I123" s="16" t="inlineStr">
        <is>
          <t>Bấm từng bước mở đúng màn</t>
        </is>
      </c>
      <c r="J123" s="16" t="inlineStr">
        <is>
          <t>Thấp</t>
        </is>
      </c>
      <c r="K123" s="17" t="n"/>
      <c r="L123" s="17" t="inlineStr">
        <is>
          <t>Chưa test</t>
        </is>
      </c>
      <c r="M123" s="17" t="n"/>
      <c r="N123" s="18" t="n"/>
      <c r="O123" s="17" t="n"/>
    </row>
    <row r="124">
      <c r="A124" s="16" t="inlineStr">
        <is>
          <t>W-TH-002</t>
        </is>
      </c>
      <c r="B124" s="16" t="inlineStr">
        <is>
          <t>Kê khai thuế</t>
        </is>
      </c>
      <c r="C124" s="16" t="inlineStr">
        <is>
          <t>Kê khai thuế</t>
        </is>
      </c>
      <c r="D124" s="16" t="inlineStr">
        <is>
          <t>/app/thue/to-khai</t>
        </is>
      </c>
      <c r="E124" s="16" t="inlineStr">
        <is>
          <t>Chức năng</t>
        </is>
      </c>
      <c r="F124" s="16" t="inlineStr">
        <is>
          <t>Danh sách tờ khai, lọc</t>
        </is>
      </c>
      <c r="G124" s="16" t="inlineStr">
        <is>
          <t>Đăng nhập, đơn vị Phố Mây gói Standard, hộ kinh doanh TT152</t>
        </is>
      </c>
      <c r="H124" s="16" t="inlineStr">
        <is>
          <t>1. Mở màn
2. Lọc năm, loại, trạng thái</t>
        </is>
      </c>
      <c r="I124" s="16" t="inlineStr">
        <is>
          <t>Danh sách lọc đúng</t>
        </is>
      </c>
      <c r="J124" s="16" t="inlineStr">
        <is>
          <t>Trung bình</t>
        </is>
      </c>
      <c r="K124" s="17" t="n"/>
      <c r="L124" s="17" t="inlineStr">
        <is>
          <t>Chưa test</t>
        </is>
      </c>
      <c r="M124" s="17" t="n"/>
      <c r="N124" s="18" t="n"/>
      <c r="O124" s="17" t="n"/>
    </row>
    <row r="125">
      <c r="A125" s="16" t="inlineStr">
        <is>
          <t>W-TH-003</t>
        </is>
      </c>
      <c r="B125" s="16" t="inlineStr">
        <is>
          <t>Kê khai thuế</t>
        </is>
      </c>
      <c r="C125" s="16" t="inlineStr">
        <is>
          <t>Kê khai thuế</t>
        </is>
      </c>
      <c r="D125" s="16" t="inlineStr">
        <is>
          <t>/app/thue/to-khai</t>
        </is>
      </c>
      <c r="E125" s="16" t="inlineStr">
        <is>
          <t>Chức năng</t>
        </is>
      </c>
      <c r="F125" s="16" t="inlineStr">
        <is>
          <t>Lập tờ khai 4 bước</t>
        </is>
      </c>
      <c r="G125" s="16" t="inlineStr">
        <is>
          <t>HKD nhóm 1 hoặc nhóm 2 theo % doanh thu</t>
        </is>
      </c>
      <c r="H125" s="16" t="inlineStr">
        <is>
          <t>1. Bấm Lập tờ khai, chọn kỳ 6 tháng
2. B1 thông tin HKD, điểm bán
3. B2 doanh thu, giảm trừ, thuế
4. B3 bảng kê 01/BK-STK
5. B4 xem trước, tải XML, đánh dấu Đã nộp</t>
        </is>
      </c>
      <c r="I125" s="16" t="inlineStr">
        <is>
          <t>Đi hết 4 bước; tải được file XML; trạng thái thành Đã nộp</t>
        </is>
      </c>
      <c r="J125" s="16" t="inlineStr">
        <is>
          <t>Cao</t>
        </is>
      </c>
      <c r="K125" s="17" t="n"/>
      <c r="L125" s="17" t="inlineStr">
        <is>
          <t>Chưa test</t>
        </is>
      </c>
      <c r="M125" s="17" t="n"/>
      <c r="N125" s="18" t="n"/>
      <c r="O125" s="17" t="n"/>
    </row>
    <row r="126">
      <c r="A126" s="16" t="inlineStr">
        <is>
          <t>W-TH-004</t>
        </is>
      </c>
      <c r="B126" s="16" t="inlineStr">
        <is>
          <t>Kê khai thuế</t>
        </is>
      </c>
      <c r="C126" s="16" t="inlineStr">
        <is>
          <t>Kê khai thuế</t>
        </is>
      </c>
      <c r="D126" s="16" t="inlineStr">
        <is>
          <t>/app/thue/to-khai</t>
        </is>
      </c>
      <c r="E126" s="16" t="inlineStr">
        <is>
          <t>Tích hợp</t>
        </is>
      </c>
      <c r="F126" s="16" t="inlineStr">
        <is>
          <t>Công thức thuế</t>
        </is>
      </c>
      <c r="G126" s="16" t="inlineStr">
        <is>
          <t>HKD nhóm 2 theo % doanh thu</t>
        </is>
      </c>
      <c r="H126" s="16" t="inlineStr">
        <is>
          <t>1. Ở bước 2 đọc doanh thu kỳ, giảm trừ, GTGT, TNCN</t>
        </is>
      </c>
      <c r="I126" s="16" t="inlineStr">
        <is>
          <t>GTGT = doanh thu kỳ × tỷ lệ GTGT ngành. TNCN = (doanh thu − giảm trừ) × tỷ lệ TNCN ngành; giảm trừ = phần còn lại của 1 tỷ/năm sau khi trừ doanh thu kỳ đầu năm. Doanh thu khớp Xuất bán POS</t>
        </is>
      </c>
      <c r="J126" s="16" t="inlineStr">
        <is>
          <t>Cao</t>
        </is>
      </c>
      <c r="K126" s="17" t="n"/>
      <c r="L126" s="17" t="inlineStr">
        <is>
          <t>Chưa test</t>
        </is>
      </c>
      <c r="M126" s="17" t="n"/>
      <c r="N126" s="18" t="n"/>
      <c r="O126" s="17" t="n"/>
    </row>
    <row r="127">
      <c r="A127" s="16" t="inlineStr">
        <is>
          <t>W-TH-005</t>
        </is>
      </c>
      <c r="B127" s="16" t="inlineStr">
        <is>
          <t>Kê khai thuế</t>
        </is>
      </c>
      <c r="C127" s="16" t="inlineStr">
        <is>
          <t>Kê khai thuế</t>
        </is>
      </c>
      <c r="D127" s="16" t="inlineStr">
        <is>
          <t>/app/thue/to-khai</t>
        </is>
      </c>
      <c r="E127" s="16" t="inlineStr">
        <is>
          <t>Ràng buộc</t>
        </is>
      </c>
      <c r="F127" s="16" t="inlineStr">
        <is>
          <t>Lập lại kỳ đã có thành bổ sung</t>
        </is>
      </c>
      <c r="G127" s="16" t="inlineStr">
        <is>
          <t>Đăng nhập, đơn vị Phố Mây gói Standard, hộ kinh doanh TT152</t>
        </is>
      </c>
      <c r="H127" s="16" t="inlineStr">
        <is>
          <t>1. Kỳ đã có tờ khai chưa huỷ, lập thêm
2. Huỷ tờ khai rồi lập lại</t>
        </is>
      </c>
      <c r="I127" s="16" t="inlineStr">
        <is>
          <t>Bước 1 thành tờ khai bổ sung lần kế. Bước 2 lập tờ khai lần đầu</t>
        </is>
      </c>
      <c r="J127" s="16" t="inlineStr">
        <is>
          <t>Trung bình</t>
        </is>
      </c>
      <c r="K127" s="17" t="n"/>
      <c r="L127" s="17" t="inlineStr">
        <is>
          <t>Chưa test</t>
        </is>
      </c>
      <c r="M127" s="17" t="n"/>
      <c r="N127" s="18" t="n"/>
      <c r="O127" s="17" t="n"/>
    </row>
    <row r="128">
      <c r="A128" s="16" t="inlineStr">
        <is>
          <t>W-TH-006</t>
        </is>
      </c>
      <c r="B128" s="16" t="inlineStr">
        <is>
          <t>Kê khai thuế</t>
        </is>
      </c>
      <c r="C128" s="16" t="inlineStr">
        <is>
          <t>Kê khai thuế</t>
        </is>
      </c>
      <c r="D128" s="16" t="inlineStr">
        <is>
          <t>/app/thue/to-khai</t>
        </is>
      </c>
      <c r="E128" s="16" t="inlineStr">
        <is>
          <t>Ràng buộc</t>
        </is>
      </c>
      <c r="F128" s="16" t="inlineStr">
        <is>
          <t>Nhóm doanh thu khoá theo thiết lập</t>
        </is>
      </c>
      <c r="G128" s="16" t="inlineStr">
        <is>
          <t>Đăng nhập, đơn vị Phố Mây gói Standard, hộ kinh doanh TT152</t>
        </is>
      </c>
      <c r="H128" s="16" t="inlineStr">
        <is>
          <t>1. Ở hộp Lập tờ khai thử đổi nhóm</t>
        </is>
      </c>
      <c r="I128" s="16" t="inlineStr">
        <is>
          <t>Nhóm khoá theo Thông tin đơn vị, không đổi được</t>
        </is>
      </c>
      <c r="J128" s="16" t="inlineStr">
        <is>
          <t>Trung bình</t>
        </is>
      </c>
      <c r="K128" s="17" t="n"/>
      <c r="L128" s="17" t="inlineStr">
        <is>
          <t>Chưa test</t>
        </is>
      </c>
      <c r="M128" s="17" t="n"/>
      <c r="N128" s="18" t="n"/>
      <c r="O128" s="17" t="n"/>
    </row>
    <row r="129">
      <c r="A129" s="16" t="inlineStr">
        <is>
          <t>W-BC-001</t>
        </is>
      </c>
      <c r="B129" s="16" t="inlineStr">
        <is>
          <t>Báo cáo</t>
        </is>
      </c>
      <c r="C129" s="16" t="inlineStr">
        <is>
          <t>Tất cả báo cáo</t>
        </is>
      </c>
      <c r="D129" s="16" t="inlineStr">
        <is>
          <t>/app/bao-cao/tat-ca</t>
        </is>
      </c>
      <c r="E129" s="16" t="inlineStr">
        <is>
          <t>Hiển thị</t>
        </is>
      </c>
      <c r="F129" s="16" t="inlineStr">
        <is>
          <t>Danh sách báo cáo gói Standard</t>
        </is>
      </c>
      <c r="G129" s="16" t="inlineStr">
        <is>
          <t>Đăng nhập, đơn vị Phố Mây gói Standard, hộ kinh doanh TT152</t>
        </is>
      </c>
      <c r="H129" s="16" t="inlineStr">
        <is>
          <t>1. Mở Tất cả báo cáo</t>
        </is>
      </c>
      <c r="I129" s="16" t="inlineStr">
        <is>
          <t>Đúng danh sách: 2.2.1, 2.2.3, Tổng hợp bán hàng, Bảng kê chi tiết bán hàng, (3.2.5 theo chế độ), Bảng kê chi tiết mua hàng, 4.2.3, 5.2.3, 5.2.9, 5.2.10, 5.2.15, KQKD 10.2.3. Không có nhóm Thuế</t>
        </is>
      </c>
      <c r="J129" s="16" t="inlineStr">
        <is>
          <t>Cao</t>
        </is>
      </c>
      <c r="K129" s="17" t="n"/>
      <c r="L129" s="17" t="inlineStr">
        <is>
          <t>Chưa test</t>
        </is>
      </c>
      <c r="M129" s="17" t="n"/>
      <c r="N129" s="18" t="n"/>
      <c r="O129" s="17" t="n"/>
    </row>
    <row r="130">
      <c r="A130" s="16" t="inlineStr">
        <is>
          <t>W-BC-002</t>
        </is>
      </c>
      <c r="B130" s="16" t="inlineStr">
        <is>
          <t>Báo cáo</t>
        </is>
      </c>
      <c r="C130" s="16" t="inlineStr">
        <is>
          <t>Nhóm báo cáo Thu chi</t>
        </is>
      </c>
      <c r="D130" s="16" t="inlineStr">
        <is>
          <t>/app/bao-cao/nhom-tien</t>
        </is>
      </c>
      <c r="E130" s="16" t="inlineStr">
        <is>
          <t>Hiển thị</t>
        </is>
      </c>
      <c r="F130" s="16" t="inlineStr">
        <is>
          <t>Nhóm Thu chi chỉ có báo cáo của gói</t>
        </is>
      </c>
      <c r="G130" s="16" t="inlineStr">
        <is>
          <t>Đăng nhập, đơn vị Phố Mây gói Standard, hộ kinh doanh TT152</t>
        </is>
      </c>
      <c r="H130" s="16" t="inlineStr">
        <is>
          <t>1. Mở nhóm
2. Bấm từng báo cáo</t>
        </is>
      </c>
      <c r="I130" s="16" t="inlineStr">
        <is>
          <t>Chỉ hiện báo cáo có ở gói Standard, mở đúng báo cáo; nhóm rỗng thì không hiện</t>
        </is>
      </c>
      <c r="J130" s="16" t="inlineStr">
        <is>
          <t>Thấp</t>
        </is>
      </c>
      <c r="K130" s="17" t="n"/>
      <c r="L130" s="17" t="inlineStr">
        <is>
          <t>Chưa test</t>
        </is>
      </c>
      <c r="M130" s="17" t="n"/>
      <c r="N130" s="18" t="n"/>
      <c r="O130" s="17" t="n"/>
    </row>
    <row r="131">
      <c r="A131" s="16" t="inlineStr">
        <is>
          <t>W-BC-003</t>
        </is>
      </c>
      <c r="B131" s="16" t="inlineStr">
        <is>
          <t>Báo cáo</t>
        </is>
      </c>
      <c r="C131" s="16" t="inlineStr">
        <is>
          <t>Nhóm báo cáo Bán hàng</t>
        </is>
      </c>
      <c r="D131" s="16" t="inlineStr">
        <is>
          <t>/app/bao-cao/nhom-ban-hang</t>
        </is>
      </c>
      <c r="E131" s="16" t="inlineStr">
        <is>
          <t>Hiển thị</t>
        </is>
      </c>
      <c r="F131" s="16" t="inlineStr">
        <is>
          <t>Nhóm Bán hàng chỉ có báo cáo của gói</t>
        </is>
      </c>
      <c r="G131" s="16" t="inlineStr">
        <is>
          <t>Đăng nhập, đơn vị Phố Mây gói Standard, hộ kinh doanh TT152</t>
        </is>
      </c>
      <c r="H131" s="16" t="inlineStr">
        <is>
          <t>1. Mở nhóm
2. Bấm từng báo cáo</t>
        </is>
      </c>
      <c r="I131" s="16" t="inlineStr">
        <is>
          <t>Chỉ hiện báo cáo có ở gói Standard, mở đúng báo cáo; nhóm rỗng thì không hiện</t>
        </is>
      </c>
      <c r="J131" s="16" t="inlineStr">
        <is>
          <t>Thấp</t>
        </is>
      </c>
      <c r="K131" s="17" t="n"/>
      <c r="L131" s="17" t="inlineStr">
        <is>
          <t>Chưa test</t>
        </is>
      </c>
      <c r="M131" s="17" t="n"/>
      <c r="N131" s="18" t="n"/>
      <c r="O131" s="17" t="n"/>
    </row>
    <row r="132">
      <c r="A132" s="16" t="inlineStr">
        <is>
          <t>W-BC-004</t>
        </is>
      </c>
      <c r="B132" s="16" t="inlineStr">
        <is>
          <t>Báo cáo</t>
        </is>
      </c>
      <c r="C132" s="16" t="inlineStr">
        <is>
          <t>Nhóm báo cáo Mua hàng</t>
        </is>
      </c>
      <c r="D132" s="16" t="inlineStr">
        <is>
          <t>/app/bao-cao/nhom-mua-hang</t>
        </is>
      </c>
      <c r="E132" s="16" t="inlineStr">
        <is>
          <t>Hiển thị</t>
        </is>
      </c>
      <c r="F132" s="16" t="inlineStr">
        <is>
          <t>Nhóm Mua hàng chỉ có báo cáo của gói</t>
        </is>
      </c>
      <c r="G132" s="16" t="inlineStr">
        <is>
          <t>Đăng nhập, đơn vị Phố Mây gói Standard, hộ kinh doanh TT152</t>
        </is>
      </c>
      <c r="H132" s="16" t="inlineStr">
        <is>
          <t>1. Mở nhóm
2. Bấm từng báo cáo</t>
        </is>
      </c>
      <c r="I132" s="16" t="inlineStr">
        <is>
          <t>Chỉ hiện báo cáo có ở gói Standard, mở đúng báo cáo; nhóm rỗng thì không hiện</t>
        </is>
      </c>
      <c r="J132" s="16" t="inlineStr">
        <is>
          <t>Thấp</t>
        </is>
      </c>
      <c r="K132" s="17" t="n"/>
      <c r="L132" s="17" t="inlineStr">
        <is>
          <t>Chưa test</t>
        </is>
      </c>
      <c r="M132" s="17" t="n"/>
      <c r="N132" s="18" t="n"/>
      <c r="O132" s="17" t="n"/>
    </row>
    <row r="133">
      <c r="A133" s="16" t="inlineStr">
        <is>
          <t>W-BC-005</t>
        </is>
      </c>
      <c r="B133" s="16" t="inlineStr">
        <is>
          <t>Báo cáo</t>
        </is>
      </c>
      <c r="C133" s="16" t="inlineStr">
        <is>
          <t>Nhóm báo cáo Kho</t>
        </is>
      </c>
      <c r="D133" s="16" t="inlineStr">
        <is>
          <t>/app/bao-cao/nhom-kho</t>
        </is>
      </c>
      <c r="E133" s="16" t="inlineStr">
        <is>
          <t>Hiển thị</t>
        </is>
      </c>
      <c r="F133" s="16" t="inlineStr">
        <is>
          <t>Nhóm Kho chỉ có báo cáo của gói</t>
        </is>
      </c>
      <c r="G133" s="16" t="inlineStr">
        <is>
          <t>Đăng nhập, đơn vị Phố Mây gói Standard, hộ kinh doanh TT152</t>
        </is>
      </c>
      <c r="H133" s="16" t="inlineStr">
        <is>
          <t>1. Mở nhóm
2. Bấm từng báo cáo</t>
        </is>
      </c>
      <c r="I133" s="16" t="inlineStr">
        <is>
          <t>Chỉ hiện báo cáo có ở gói Standard, mở đúng báo cáo; nhóm rỗng thì không hiện</t>
        </is>
      </c>
      <c r="J133" s="16" t="inlineStr">
        <is>
          <t>Thấp</t>
        </is>
      </c>
      <c r="K133" s="17" t="n"/>
      <c r="L133" s="17" t="inlineStr">
        <is>
          <t>Chưa test</t>
        </is>
      </c>
      <c r="M133" s="17" t="n"/>
      <c r="N133" s="18" t="n"/>
      <c r="O133" s="17" t="n"/>
    </row>
    <row r="134">
      <c r="A134" s="16" t="inlineStr">
        <is>
          <t>W-BC-006</t>
        </is>
      </c>
      <c r="B134" s="16" t="inlineStr">
        <is>
          <t>Báo cáo</t>
        </is>
      </c>
      <c r="C134" s="16" t="inlineStr">
        <is>
          <t>Nhóm báo cáo Chi phí phân bổ</t>
        </is>
      </c>
      <c r="D134" s="16" t="inlineStr">
        <is>
          <t>/app/bao-cao/nhom-ccdc</t>
        </is>
      </c>
      <c r="E134" s="16" t="inlineStr">
        <is>
          <t>Hiển thị</t>
        </is>
      </c>
      <c r="F134" s="16" t="inlineStr">
        <is>
          <t>Nhóm Chi phí phân bổ chỉ có báo cáo của gói</t>
        </is>
      </c>
      <c r="G134" s="16" t="inlineStr">
        <is>
          <t>Đăng nhập, đơn vị Phố Mây gói Standard, hộ kinh doanh TT152</t>
        </is>
      </c>
      <c r="H134" s="16" t="inlineStr">
        <is>
          <t>1. Mở nhóm
2. Bấm từng báo cáo</t>
        </is>
      </c>
      <c r="I134" s="16" t="inlineStr">
        <is>
          <t>Chỉ hiện báo cáo có ở gói Standard, mở đúng báo cáo; nhóm rỗng thì không hiện</t>
        </is>
      </c>
      <c r="J134" s="16" t="inlineStr">
        <is>
          <t>Thấp</t>
        </is>
      </c>
      <c r="K134" s="17" t="n"/>
      <c r="L134" s="17" t="inlineStr">
        <is>
          <t>Chưa test</t>
        </is>
      </c>
      <c r="M134" s="17" t="n"/>
      <c r="N134" s="18" t="n"/>
      <c r="O134" s="17" t="n"/>
    </row>
    <row r="135">
      <c r="A135" s="16" t="inlineStr">
        <is>
          <t>W-BC-007</t>
        </is>
      </c>
      <c r="B135" s="16" t="inlineStr">
        <is>
          <t>Báo cáo</t>
        </is>
      </c>
      <c r="C135" s="16" t="inlineStr">
        <is>
          <t>Nhóm báo cáo Tổng hợp</t>
        </is>
      </c>
      <c r="D135" s="16" t="inlineStr">
        <is>
          <t>/app/bao-cao/nhom-tong-hop</t>
        </is>
      </c>
      <c r="E135" s="16" t="inlineStr">
        <is>
          <t>Hiển thị</t>
        </is>
      </c>
      <c r="F135" s="16" t="inlineStr">
        <is>
          <t>Nhóm Tổng hợp chỉ có báo cáo của gói</t>
        </is>
      </c>
      <c r="G135" s="16" t="inlineStr">
        <is>
          <t>Đăng nhập, đơn vị Phố Mây gói Standard, hộ kinh doanh TT152</t>
        </is>
      </c>
      <c r="H135" s="16" t="inlineStr">
        <is>
          <t>1. Mở nhóm
2. Bấm từng báo cáo</t>
        </is>
      </c>
      <c r="I135" s="16" t="inlineStr">
        <is>
          <t>Chỉ hiện báo cáo có ở gói Standard, mở đúng báo cáo; nhóm rỗng thì không hiện</t>
        </is>
      </c>
      <c r="J135" s="16" t="inlineStr">
        <is>
          <t>Thấp</t>
        </is>
      </c>
      <c r="K135" s="17" t="n"/>
      <c r="L135" s="17" t="inlineStr">
        <is>
          <t>Chưa test</t>
        </is>
      </c>
      <c r="M135" s="17" t="n"/>
      <c r="N135" s="18" t="n"/>
      <c r="O135" s="17" t="n"/>
    </row>
    <row r="136">
      <c r="A136" s="16" t="inlineStr">
        <is>
          <t>W-BC-008</t>
        </is>
      </c>
      <c r="B136" s="16" t="inlineStr">
        <is>
          <t>Báo cáo</t>
        </is>
      </c>
      <c r="C136" s="16" t="inlineStr">
        <is>
          <t>Nhóm báo cáo Công nợ</t>
        </is>
      </c>
      <c r="D136" s="16" t="inlineStr">
        <is>
          <t>/app/bao-cao/nhom-cong-no</t>
        </is>
      </c>
      <c r="E136" s="16" t="inlineStr">
        <is>
          <t>Hiển thị</t>
        </is>
      </c>
      <c r="F136" s="16" t="inlineStr">
        <is>
          <t>Nhóm Công nợ chỉ có báo cáo của gói</t>
        </is>
      </c>
      <c r="G136" s="16" t="inlineStr">
        <is>
          <t>Đăng nhập, đơn vị Phố Mây gói Standard, hộ kinh doanh TT152</t>
        </is>
      </c>
      <c r="H136" s="16" t="inlineStr">
        <is>
          <t>1. Mở nhóm
2. Bấm từng báo cáo</t>
        </is>
      </c>
      <c r="I136" s="16" t="inlineStr">
        <is>
          <t>Chỉ hiện báo cáo có ở gói Standard, mở đúng báo cáo; nhóm rỗng thì không hiện</t>
        </is>
      </c>
      <c r="J136" s="16" t="inlineStr">
        <is>
          <t>Thấp</t>
        </is>
      </c>
      <c r="K136" s="17" t="n"/>
      <c r="L136" s="17" t="inlineStr">
        <is>
          <t>Chưa test</t>
        </is>
      </c>
      <c r="M136" s="17" t="n"/>
      <c r="N136" s="18" t="n"/>
      <c r="O136" s="17" t="n"/>
    </row>
    <row r="137">
      <c r="A137" s="16" t="inlineStr">
        <is>
          <t>W-BC-009</t>
        </is>
      </c>
      <c r="B137" s="16" t="inlineStr">
        <is>
          <t>Báo cáo</t>
        </is>
      </c>
      <c r="C137" s="16" t="inlineStr">
        <is>
          <t>Báo cáo (chung)</t>
        </is>
      </c>
      <c r="D137" s="16" t="inlineStr">
        <is>
          <t>/app/bao-cao</t>
        </is>
      </c>
      <c r="E137" s="16" t="inlineStr">
        <is>
          <t>Chức năng</t>
        </is>
      </c>
      <c r="F137" s="16" t="inlineStr">
        <is>
          <t>Bộ lọc, in, xuất, tuỳ chỉnh</t>
        </is>
      </c>
      <c r="G137" s="16" t="inlineStr">
        <is>
          <t>Đăng nhập, đơn vị Phố Mây gói Standard, hộ kinh doanh TT152</t>
        </is>
      </c>
      <c r="H137" s="16" t="inlineStr">
        <is>
          <t>1. Mở một báo cáo
2. Đổi Khoảng ngày, gõ Tìm, dùng ô lọc ngoài
3. In, Xuất file
4. Tuỳ chỉnh cột, gom nhóm
5. Bấm số chứng từ</t>
        </is>
      </c>
      <c r="I137" s="16" t="inlineStr">
        <is>
          <t>Lọc đúng; in, xuất đúng số trên màn; ẩn/hiện cột, gom nhóm đúng; số chứng từ mở phiếu</t>
        </is>
      </c>
      <c r="J137" s="16" t="inlineStr">
        <is>
          <t>Cao</t>
        </is>
      </c>
      <c r="K137" s="17" t="n"/>
      <c r="L137" s="17" t="inlineStr">
        <is>
          <t>Chưa test</t>
        </is>
      </c>
      <c r="M137" s="17" t="n"/>
      <c r="N137" s="18" t="n"/>
      <c r="O137" s="17" t="n"/>
    </row>
    <row r="138">
      <c r="A138" s="16" t="inlineStr">
        <is>
          <t>W-BC-010</t>
        </is>
      </c>
      <c r="B138" s="16" t="inlineStr">
        <is>
          <t>Báo cáo</t>
        </is>
      </c>
      <c r="C138" s="16" t="inlineStr">
        <is>
          <t>Báo cáo (chung)</t>
        </is>
      </c>
      <c r="D138" s="16" t="inlineStr">
        <is>
          <t>/app/bao-cao</t>
        </is>
      </c>
      <c r="E138" s="16" t="inlineStr">
        <is>
          <t>Ràng buộc</t>
        </is>
      </c>
      <c r="F138" s="16" t="inlineStr">
        <is>
          <t>Báo cáo không hợp thiết lập</t>
        </is>
      </c>
      <c r="G138" s="16" t="inlineStr">
        <is>
          <t>Đăng nhập, đơn vị Phố Mây gói Standard, hộ kinh doanh TT152</t>
        </is>
      </c>
      <c r="H138" s="16" t="inlineStr">
        <is>
          <t>1. HKD tính theo lợi nhuận, gõ đường dẫn /app/ban-hang/3-2-5</t>
        </is>
      </c>
      <c r="I138" s="16" t="inlineStr">
        <is>
          <t>Hiện 'Báo cáo không dùng với thiết lập hiện tại'</t>
        </is>
      </c>
      <c r="J138" s="16" t="inlineStr">
        <is>
          <t>Trung bình</t>
        </is>
      </c>
      <c r="K138" s="17" t="n"/>
      <c r="L138" s="17" t="inlineStr">
        <is>
          <t>Chưa test</t>
        </is>
      </c>
      <c r="M138" s="17" t="n"/>
      <c r="N138" s="18" t="n"/>
      <c r="O138" s="17" t="n"/>
    </row>
    <row r="139">
      <c r="A139" s="16" t="inlineStr">
        <is>
          <t>W-BC-011</t>
        </is>
      </c>
      <c r="B139" s="16" t="inlineStr">
        <is>
          <t>Báo cáo</t>
        </is>
      </c>
      <c r="C139" s="16" t="inlineStr">
        <is>
          <t>KQKD 10.2.3</t>
        </is>
      </c>
      <c r="D139" s="16" t="inlineStr">
        <is>
          <t>/app/bao-cao/10-2-3</t>
        </is>
      </c>
      <c r="E139" s="16" t="inlineStr">
        <is>
          <t>Tích hợp</t>
        </is>
      </c>
      <c r="F139" s="16" t="inlineStr">
        <is>
          <t>Bản lãi lỗ đơn giản khớp trang chủ</t>
        </is>
      </c>
      <c r="G139" s="16" t="inlineStr">
        <is>
          <t>Đăng nhập, đơn vị Phố Mây gói Standard, hộ kinh doanh TT152</t>
        </is>
      </c>
      <c r="H139" s="16" t="inlineStr">
        <is>
          <t>1. Mở báo cáo tháng 10, cửa hàng A
2. So trang chủ</t>
        </is>
      </c>
      <c r="I139" s="16" t="inlineStr">
        <is>
          <t>Không theo mẫu B02; doanh thu, chi phí, lợi nhuận khớp khối KQKD trang chủ</t>
        </is>
      </c>
      <c r="J139" s="16" t="inlineStr">
        <is>
          <t>Cao</t>
        </is>
      </c>
      <c r="K139" s="17" t="n"/>
      <c r="L139" s="17" t="inlineStr">
        <is>
          <t>Chưa test</t>
        </is>
      </c>
      <c r="M139" s="17" t="n"/>
      <c r="N139" s="18" t="n"/>
      <c r="O139" s="17" t="n"/>
    </row>
    <row r="140">
      <c r="A140" s="16" t="inlineStr">
        <is>
          <t>W-HT-001</t>
        </is>
      </c>
      <c r="B140" s="16" t="inlineStr">
        <is>
          <t>Hệ thống</t>
        </is>
      </c>
      <c r="C140" s="16" t="inlineStr">
        <is>
          <t>Hệ thống (chung)</t>
        </is>
      </c>
      <c r="D140" s="16" t="inlineStr">
        <is>
          <t>/app/he-thong</t>
        </is>
      </c>
      <c r="E140" s="16" t="inlineStr">
        <is>
          <t>Hiển thị</t>
        </is>
      </c>
      <c r="F140" s="16" t="inlineStr">
        <is>
          <t>Màn có ở gói Standard</t>
        </is>
      </c>
      <c r="G140" s="16" t="inlineStr">
        <is>
          <t>Đăng nhập, đơn vị Phố Mây gói Standard, hộ kinh doanh TT152</t>
        </is>
      </c>
      <c r="H140" s="16" t="inlineStr">
        <is>
          <t>1. Xem các tab</t>
        </is>
      </c>
      <c r="I140" s="16" t="inlineStr">
        <is>
          <t>Có Thông tin đơn vị, Cấu hình kế toán, Khoá sổ, Gói thuê bao. Không có Người dùng, Vai trò và phân quyền</t>
        </is>
      </c>
      <c r="J140" s="16" t="inlineStr">
        <is>
          <t>Trung bình</t>
        </is>
      </c>
      <c r="K140" s="17" t="n"/>
      <c r="L140" s="17" t="inlineStr">
        <is>
          <t>Chưa test</t>
        </is>
      </c>
      <c r="M140" s="17" t="n"/>
      <c r="N140" s="18" t="n"/>
      <c r="O140" s="17" t="n"/>
    </row>
    <row r="141">
      <c r="A141" s="16" t="inlineStr">
        <is>
          <t>W-HT-002</t>
        </is>
      </c>
      <c r="B141" s="16" t="inlineStr">
        <is>
          <t>Hệ thống</t>
        </is>
      </c>
      <c r="C141" s="16" t="inlineStr">
        <is>
          <t>Thông tin đơn vị</t>
        </is>
      </c>
      <c r="D141" s="16" t="inlineStr">
        <is>
          <t>/app/he-thong/thong-tin</t>
        </is>
      </c>
      <c r="E141" s="16" t="inlineStr">
        <is>
          <t>Ràng buộc</t>
        </is>
      </c>
      <c r="F141" s="16" t="inlineStr">
        <is>
          <t>Tên bắt buộc, MST khoá</t>
        </is>
      </c>
      <c r="G141" s="16" t="inlineStr">
        <is>
          <t>Đăng nhập, đơn vị Phố Mây gói Standard, hộ kinh doanh TT152</t>
        </is>
      </c>
      <c r="H141" s="16" t="inlineStr">
        <is>
          <t>1. Xoá tên, lưu
2. Đơn vị đã khai MST khi khởi tạo: sửa MST</t>
        </is>
      </c>
      <c r="I141" s="16" t="inlineStr">
        <is>
          <t>Báo thiếu tên; ô MST khoá. Số điểm bán = số cửa hàng</t>
        </is>
      </c>
      <c r="J141" s="16" t="inlineStr">
        <is>
          <t>Cao</t>
        </is>
      </c>
      <c r="K141" s="17" t="n"/>
      <c r="L141" s="17" t="inlineStr">
        <is>
          <t>Chưa test</t>
        </is>
      </c>
      <c r="M141" s="17" t="n"/>
      <c r="N141" s="18" t="n"/>
      <c r="O141" s="17" t="n"/>
    </row>
    <row r="142">
      <c r="A142" s="16" t="inlineStr">
        <is>
          <t>W-HT-003</t>
        </is>
      </c>
      <c r="B142" s="16" t="inlineStr">
        <is>
          <t>Hệ thống</t>
        </is>
      </c>
      <c r="C142" s="16" t="inlineStr">
        <is>
          <t>Thông tin đơn vị</t>
        </is>
      </c>
      <c r="D142" s="16" t="inlineStr">
        <is>
          <t>/app/he-thong/thong-tin</t>
        </is>
      </c>
      <c r="E142" s="16" t="inlineStr">
        <is>
          <t>Chức năng</t>
        </is>
      </c>
      <c r="F142" s="16" t="inlineStr">
        <is>
          <t>Thiết lập hộ kinh doanh</t>
        </is>
      </c>
      <c r="G142" s="16" t="inlineStr">
        <is>
          <t>Đăng nhập, đơn vị Phố Mây gói Standard, hộ kinh doanh TT152</t>
        </is>
      </c>
      <c r="H142" s="16" t="inlineStr">
        <is>
          <t>1. Loại hình Hộ kinh doanh
2. Đổi nhóm 1–4
3. Nhóm 2 chọn cách tính TNCN
4. Chọn cửa hàng chính, kênh online, sàn</t>
        </is>
      </c>
      <c r="I142" s="16" t="inlineStr">
        <is>
          <t>TT152 cố định; GTGT trực tiếp; TNCN theo nhóm, chỉ nhóm 2 được chọn; lưu đúng</t>
        </is>
      </c>
      <c r="J142" s="16" t="inlineStr">
        <is>
          <t>Cao</t>
        </is>
      </c>
      <c r="K142" s="17" t="n"/>
      <c r="L142" s="17" t="inlineStr">
        <is>
          <t>Chưa test</t>
        </is>
      </c>
      <c r="M142" s="17" t="n"/>
      <c r="N142" s="18" t="n"/>
      <c r="O142" s="17" t="n"/>
    </row>
    <row r="143">
      <c r="A143" s="16" t="inlineStr">
        <is>
          <t>W-HT-004</t>
        </is>
      </c>
      <c r="B143" s="16" t="inlineStr">
        <is>
          <t>Hệ thống</t>
        </is>
      </c>
      <c r="C143" s="16" t="inlineStr">
        <is>
          <t>Thông tin đơn vị</t>
        </is>
      </c>
      <c r="D143" s="16" t="inlineStr">
        <is>
          <t>/app/he-thong/thong-tin</t>
        </is>
      </c>
      <c r="E143" s="16" t="inlineStr">
        <is>
          <t>Ràng buộc</t>
        </is>
      </c>
      <c r="F143" s="16" t="inlineStr">
        <is>
          <t>Doanh nghiệp, đổi loại hình</t>
        </is>
      </c>
      <c r="G143" s="16" t="inlineStr">
        <is>
          <t>Đăng nhập, đơn vị Phố Mây gói Standard, hộ kinh doanh TT152</t>
        </is>
      </c>
      <c r="H143" s="16" t="inlineStr">
        <is>
          <t>1. Đổi sang Doanh nghiệp
2. Lưu</t>
        </is>
      </c>
      <c r="I143" s="16" t="inlineStr">
        <is>
          <t>Cảnh báo đổi chế độ, sổ, báo cáo. Doanh nghiệp TT58 cố định, GTGT và TNDN theo % doanh thu; không có Nợ/Có</t>
        </is>
      </c>
      <c r="J143" s="16" t="inlineStr">
        <is>
          <t>Cao</t>
        </is>
      </c>
      <c r="K143" s="17" t="n"/>
      <c r="L143" s="17" t="inlineStr">
        <is>
          <t>Chưa test</t>
        </is>
      </c>
      <c r="M143" s="17" t="n"/>
      <c r="N143" s="18" t="n"/>
      <c r="O143" s="17" t="n"/>
    </row>
    <row r="144">
      <c r="A144" s="16" t="inlineStr">
        <is>
          <t>W-HT-005</t>
        </is>
      </c>
      <c r="B144" s="16" t="inlineStr">
        <is>
          <t>Hệ thống</t>
        </is>
      </c>
      <c r="C144" s="16" t="inlineStr">
        <is>
          <t>Cấu hình kế toán</t>
        </is>
      </c>
      <c r="D144" s="16" t="inlineStr">
        <is>
          <t>/app/he-thong/cau-hinh</t>
        </is>
      </c>
      <c r="E144" s="16" t="inlineStr">
        <is>
          <t>Chức năng</t>
        </is>
      </c>
      <c r="F144" s="16" t="inlineStr">
        <is>
          <t>Mẫu số chứng từ, đồng bộ FABi</t>
        </is>
      </c>
      <c r="G144" s="16" t="inlineStr">
        <is>
          <t>Đăng nhập, đơn vị Phố Mây gói Standard, hộ kinh doanh TT152</t>
        </is>
      </c>
      <c r="H144" s="16" t="inlineStr">
        <is>
          <t>1. Xem bảng mẫu đánh số
2. Bật/tắt đồng bộ thu chi FABi một cửa hàng</t>
        </is>
      </c>
      <c r="I144" s="16" t="inlineStr">
        <is>
          <t>Không có thiết lập Nợ/Có; đổi đồng bộ khớp với Danh mục cửa hàng</t>
        </is>
      </c>
      <c r="J144" s="16" t="inlineStr">
        <is>
          <t>Trung bình</t>
        </is>
      </c>
      <c r="K144" s="17" t="n"/>
      <c r="L144" s="17" t="inlineStr">
        <is>
          <t>Chưa test</t>
        </is>
      </c>
      <c r="M144" s="17" t="n"/>
      <c r="N144" s="18" t="n"/>
      <c r="O144" s="17" t="n"/>
    </row>
    <row r="145">
      <c r="A145" s="16" t="inlineStr">
        <is>
          <t>W-HT-006</t>
        </is>
      </c>
      <c r="B145" s="16" t="inlineStr">
        <is>
          <t>Hệ thống</t>
        </is>
      </c>
      <c r="C145" s="16" t="inlineStr">
        <is>
          <t>Khoá sổ</t>
        </is>
      </c>
      <c r="D145" s="16" t="inlineStr">
        <is>
          <t>/app/he-thong/khoa-so</t>
        </is>
      </c>
      <c r="E145" s="16" t="inlineStr">
        <is>
          <t>Hiển thị</t>
        </is>
      </c>
      <c r="F145" s="16" t="inlineStr">
        <is>
          <t>Bảng tháng của cửa hàng</t>
        </is>
      </c>
      <c r="G145" s="16" t="inlineStr">
        <is>
          <t>Đăng nhập, đơn vị Phố Mây gói Standard, hộ kinh doanh TT152</t>
        </is>
      </c>
      <c r="H145" s="16" t="inlineStr">
        <is>
          <t>1. Chọn cửa hàng, năm
2. Lọc trạng thái</t>
        </is>
      </c>
      <c r="I145" s="16" t="inlineStr">
        <is>
          <t>Các tháng với trạng thái Đã khoá, Chưa khoá, Đang mở, Chưa tới; lọc đúng</t>
        </is>
      </c>
      <c r="J145" s="16" t="inlineStr">
        <is>
          <t>Trung bình</t>
        </is>
      </c>
      <c r="K145" s="17" t="n"/>
      <c r="L145" s="17" t="inlineStr">
        <is>
          <t>Chưa test</t>
        </is>
      </c>
      <c r="M145" s="17" t="n"/>
      <c r="N145" s="18" t="n"/>
      <c r="O145" s="17" t="n"/>
    </row>
    <row r="146">
      <c r="A146" s="16" t="inlineStr">
        <is>
          <t>W-HT-007</t>
        </is>
      </c>
      <c r="B146" s="16" t="inlineStr">
        <is>
          <t>Hệ thống</t>
        </is>
      </c>
      <c r="C146" s="16" t="inlineStr">
        <is>
          <t>Khoá sổ</t>
        </is>
      </c>
      <c r="D146" s="16" t="inlineStr">
        <is>
          <t>/app/he-thong/khoa-so</t>
        </is>
      </c>
      <c r="E146" s="16" t="inlineStr">
        <is>
          <t>Ràng buộc</t>
        </is>
      </c>
      <c r="F146" s="16" t="inlineStr">
        <is>
          <t>Khoá tháng</t>
        </is>
      </c>
      <c r="G146" s="16" t="inlineStr">
        <is>
          <t>Đăng nhập, đơn vị Phố Mây gói Standard, hộ kinh doanh TT152</t>
        </is>
      </c>
      <c r="H146" s="16" t="inlineStr">
        <is>
          <t>1. Khoá tháng hiện tại chưa hết
2. Khoá tháng 9 khi tháng 7, 8 chưa khoá</t>
        </is>
      </c>
      <c r="I146" s="16" t="inlineStr">
        <is>
          <t>Bước 1 không cho khoá. Bước 2 khoá luôn tháng 7, 8, 9</t>
        </is>
      </c>
      <c r="J146" s="16" t="inlineStr">
        <is>
          <t>Cao</t>
        </is>
      </c>
      <c r="K146" s="17" t="n"/>
      <c r="L146" s="17" t="inlineStr">
        <is>
          <t>Chưa test</t>
        </is>
      </c>
      <c r="M146" s="17" t="n"/>
      <c r="N146" s="18" t="n"/>
      <c r="O146" s="17" t="n"/>
    </row>
    <row r="147">
      <c r="A147" s="16" t="inlineStr">
        <is>
          <t>W-HT-008</t>
        </is>
      </c>
      <c r="B147" s="16" t="inlineStr">
        <is>
          <t>Hệ thống</t>
        </is>
      </c>
      <c r="C147" s="16" t="inlineStr">
        <is>
          <t>Khoá sổ</t>
        </is>
      </c>
      <c r="D147" s="16" t="inlineStr">
        <is>
          <t>/app/he-thong/khoa-so</t>
        </is>
      </c>
      <c r="E147" s="16" t="inlineStr">
        <is>
          <t>Chức năng</t>
        </is>
      </c>
      <c r="F147" s="16" t="inlineStr">
        <is>
          <t>Bước kiểm tra trước khi khoá</t>
        </is>
      </c>
      <c r="G147" s="16" t="inlineStr">
        <is>
          <t>Đăng nhập, đơn vị Phố Mây gói Standard, hộ kinh doanh TT152</t>
        </is>
      </c>
      <c r="H147" s="16" t="inlineStr">
        <is>
          <t>1. Để còn phiếu kiểm kê thiếu, phiếu FABi chờ, chi phí chờ ghi tăng
2. Bấm Khoá</t>
        </is>
      </c>
      <c r="I147" s="16" t="inlineStr">
        <is>
          <t>Hiện các bước kiểm tra: kiểm kê, phân bổ, chi phí chờ ghi tăng, đối chiếu tồn quỹ, phiếu FABi chờ. Chưa xong vẫn khoá được, kèm cảnh báo</t>
        </is>
      </c>
      <c r="J147" s="16" t="inlineStr">
        <is>
          <t>Cao</t>
        </is>
      </c>
      <c r="K147" s="17" t="n"/>
      <c r="L147" s="17" t="inlineStr">
        <is>
          <t>Chưa test</t>
        </is>
      </c>
      <c r="M147" s="17" t="n"/>
      <c r="N147" s="18" t="n"/>
      <c r="O147" s="17" t="n"/>
    </row>
    <row r="148">
      <c r="A148" s="16" t="inlineStr">
        <is>
          <t>W-HT-009</t>
        </is>
      </c>
      <c r="B148" s="16" t="inlineStr">
        <is>
          <t>Hệ thống</t>
        </is>
      </c>
      <c r="C148" s="16" t="inlineStr">
        <is>
          <t>Khoá sổ</t>
        </is>
      </c>
      <c r="D148" s="16" t="inlineStr">
        <is>
          <t>/app/he-thong/khoa-so</t>
        </is>
      </c>
      <c r="E148" s="16" t="inlineStr">
        <is>
          <t>Ràng buộc</t>
        </is>
      </c>
      <c r="F148" s="16" t="inlineStr">
        <is>
          <t>Mở khoá</t>
        </is>
      </c>
      <c r="G148" s="16" t="inlineStr">
        <is>
          <t>Đăng nhập, đơn vị Phố Mây gói Standard, hộ kinh doanh TT152</t>
        </is>
      </c>
      <c r="H148" s="16" t="inlineStr">
        <is>
          <t>1. Mở khoá tháng 7 khi đã khoá tới tháng 9
2. Mở khoá tháng 9 không ghi lý do
3. Ghi lý do</t>
        </is>
      </c>
      <c r="I148" s="16" t="inlineStr">
        <is>
          <t>Chỉ mở được tháng khoá gần nhất; bắt buộc lý do</t>
        </is>
      </c>
      <c r="J148" s="16" t="inlineStr">
        <is>
          <t>Cao</t>
        </is>
      </c>
      <c r="K148" s="17" t="n"/>
      <c r="L148" s="17" t="inlineStr">
        <is>
          <t>Chưa test</t>
        </is>
      </c>
      <c r="M148" s="17" t="n"/>
      <c r="N148" s="18" t="n"/>
      <c r="O148" s="17" t="n"/>
    </row>
    <row r="149">
      <c r="A149" s="16" t="inlineStr">
        <is>
          <t>W-HT-010</t>
        </is>
      </c>
      <c r="B149" s="16" t="inlineStr">
        <is>
          <t>Hệ thống</t>
        </is>
      </c>
      <c r="C149" s="16" t="inlineStr">
        <is>
          <t>Khoá sổ</t>
        </is>
      </c>
      <c r="D149" s="16" t="inlineStr">
        <is>
          <t>/app/he-thong/khoa-so</t>
        </is>
      </c>
      <c r="E149" s="16" t="inlineStr">
        <is>
          <t>Chức năng</t>
        </is>
      </c>
      <c r="F149" s="16" t="inlineStr">
        <is>
          <t>Hàng loạt, lịch sử</t>
        </is>
      </c>
      <c r="G149" s="16" t="inlineStr">
        <is>
          <t>Đăng nhập, đơn vị Phố Mây gói Standard, hộ kinh doanh TT152</t>
        </is>
      </c>
      <c r="H149" s="16" t="inlineStr">
        <is>
          <t>1. Khoá sổ hàng loạt nhiều cửa hàng
2. Mở khoá hàng loạt
3. Xem Lịch sử khoá sổ</t>
        </is>
      </c>
      <c r="I149" s="16" t="inlineStr">
        <is>
          <t>Thao tác đúng; lịch sử ghi người, lúc, lý do</t>
        </is>
      </c>
      <c r="J149" s="16" t="inlineStr">
        <is>
          <t>Trung bình</t>
        </is>
      </c>
      <c r="K149" s="17" t="n"/>
      <c r="L149" s="17" t="inlineStr">
        <is>
          <t>Chưa test</t>
        </is>
      </c>
      <c r="M149" s="17" t="n"/>
      <c r="N149" s="18" t="n"/>
      <c r="O149" s="17" t="n"/>
    </row>
    <row r="150">
      <c r="A150" s="16" t="inlineStr">
        <is>
          <t>W-HT-011</t>
        </is>
      </c>
      <c r="B150" s="16" t="inlineStr">
        <is>
          <t>Hệ thống</t>
        </is>
      </c>
      <c r="C150" s="16" t="inlineStr">
        <is>
          <t>Khoá sổ</t>
        </is>
      </c>
      <c r="D150" s="16" t="inlineStr">
        <is>
          <t>/app/he-thong/khoa-so</t>
        </is>
      </c>
      <c r="E150" s="16" t="inlineStr">
        <is>
          <t>Tích hợp</t>
        </is>
      </c>
      <c r="F150" s="16" t="inlineStr">
        <is>
          <t>Khoá theo từng cửa hàng</t>
        </is>
      </c>
      <c r="G150" s="16" t="inlineStr">
        <is>
          <t>Đăng nhập, đơn vị Phố Mây gói Standard, hộ kinh doanh TT152</t>
        </is>
      </c>
      <c r="H150" s="16" t="inlineStr">
        <is>
          <t>1. Khoá tháng 9 cửa hàng A
2. Lập phiếu tháng 9 ở cửa hàng B</t>
        </is>
      </c>
      <c r="I150" s="16" t="inlineStr">
        <is>
          <t>B vẫn lập được; A chỉ xem</t>
        </is>
      </c>
      <c r="J150" s="16" t="inlineStr">
        <is>
          <t>Cao</t>
        </is>
      </c>
      <c r="K150" s="17" t="n"/>
      <c r="L150" s="17" t="inlineStr">
        <is>
          <t>Chưa test</t>
        </is>
      </c>
      <c r="M150" s="17" t="n"/>
      <c r="N150" s="18" t="n"/>
      <c r="O150" s="17" t="n"/>
    </row>
    <row r="151">
      <c r="A151" s="16" t="inlineStr">
        <is>
          <t>W-HT-012</t>
        </is>
      </c>
      <c r="B151" s="16" t="inlineStr">
        <is>
          <t>Hệ thống</t>
        </is>
      </c>
      <c r="C151" s="16" t="inlineStr">
        <is>
          <t>Gói thuê bao</t>
        </is>
      </c>
      <c r="D151" s="16" t="inlineStr">
        <is>
          <t>/app/he-thong/goi-thue-bao</t>
        </is>
      </c>
      <c r="E151" s="16" t="inlineStr">
        <is>
          <t>Hiển thị</t>
        </is>
      </c>
      <c r="F151" s="16" t="inlineStr">
        <is>
          <t>Thẻ gói, so sánh</t>
        </is>
      </c>
      <c r="G151" s="16" t="inlineStr">
        <is>
          <t>Đăng nhập, đơn vị Phố Mây gói Standard, hộ kinh doanh TT152</t>
        </is>
      </c>
      <c r="H151" s="16" t="inlineStr">
        <is>
          <t>1. Mở màn</t>
        </is>
      </c>
      <c r="I151" s="16" t="inlineStr">
        <is>
          <t>Thẻ gói đang dùng; 3 thẻ gói, Plus và Pro nhãn Sắp ra mắt, không có nút chuyển; bảng so sánh theo phân hệ; hỏi đáp</t>
        </is>
      </c>
      <c r="J151" s="16" t="inlineStr">
        <is>
          <t>Trung bình</t>
        </is>
      </c>
      <c r="K151" s="17" t="n"/>
      <c r="L151" s="17" t="inlineStr">
        <is>
          <t>Chưa test</t>
        </is>
      </c>
      <c r="M151" s="17" t="n"/>
      <c r="N151" s="18" t="n"/>
      <c r="O151" s="17" t="n"/>
    </row>
    <row r="152">
      <c r="A152" s="16" t="inlineStr">
        <is>
          <t>W-DN-001</t>
        </is>
      </c>
      <c r="B152" s="16" t="inlineStr">
        <is>
          <t>Doanh nghiệp TT58</t>
        </is>
      </c>
      <c r="C152" s="16" t="inlineStr">
        <is>
          <t>Toàn app</t>
        </is>
      </c>
      <c r="D152" s="16" t="inlineStr">
        <is>
          <t>/app</t>
        </is>
      </c>
      <c r="E152" s="16" t="inlineStr">
        <is>
          <t>Tích hợp</t>
        </is>
      </c>
      <c r="F152" s="16" t="inlineStr">
        <is>
          <t>Doanh nghiệp gói Standard không ghi sổ</t>
        </is>
      </c>
      <c r="G152" s="16" t="inlineStr">
        <is>
          <t>Đơn vị doanh nghiệp gói Standard</t>
        </is>
      </c>
      <c r="H152" s="16" t="inlineStr">
        <is>
          <t>1. Đơn vị doanh nghiệp TT58 gói Standard
2. Lập phiếu thu, mua hàng, kiểm kê</t>
        </is>
      </c>
      <c r="I152" s="16" t="inlineStr">
        <is>
          <t>Không có Nợ/Có, khoản mục, công việc, bút toán, nút Ghi sổ (QD81)</t>
        </is>
      </c>
      <c r="J152" s="16" t="inlineStr">
        <is>
          <t>Cao</t>
        </is>
      </c>
      <c r="K152" s="17" t="n"/>
      <c r="L152" s="17" t="inlineStr">
        <is>
          <t>Chưa test</t>
        </is>
      </c>
      <c r="M152" s="17" t="n"/>
      <c r="N152" s="18" t="n"/>
      <c r="O152" s="17" t="n"/>
    </row>
    <row r="153">
      <c r="A153" s="16" t="inlineStr">
        <is>
          <t>W-DN-002</t>
        </is>
      </c>
      <c r="B153" s="16" t="inlineStr">
        <is>
          <t>Doanh nghiệp TT58</t>
        </is>
      </c>
      <c r="C153" s="16" t="inlineStr">
        <is>
          <t>Báo cáo</t>
        </is>
      </c>
      <c r="D153" s="16" t="inlineStr">
        <is>
          <t>/app/bao-cao/tat-ca</t>
        </is>
      </c>
      <c r="E153" s="16" t="inlineStr">
        <is>
          <t>Hiển thị</t>
        </is>
      </c>
      <c r="F153" s="16" t="inlineStr">
        <is>
          <t>Sổ theo chế độ TT58</t>
        </is>
      </c>
      <c r="G153" s="16" t="inlineStr">
        <is>
          <t>Đơn vị doanh nghiệp gói Standard</t>
        </is>
      </c>
      <c r="H153" s="16" t="inlineStr">
        <is>
          <t>1. Mở Tất cả báo cáo</t>
        </is>
      </c>
      <c r="I153" s="16" t="inlineStr">
        <is>
          <t>Sổ doanh thu chỉ S1-DNSN, không có S1a, S2a-HKD</t>
        </is>
      </c>
      <c r="J153" s="16" t="inlineStr">
        <is>
          <t>Trung bình</t>
        </is>
      </c>
      <c r="K153" s="17" t="n"/>
      <c r="L153" s="17" t="inlineStr">
        <is>
          <t>Chưa test</t>
        </is>
      </c>
      <c r="M153" s="17" t="n"/>
      <c r="N153" s="18" t="n"/>
      <c r="O153" s="17" t="n"/>
    </row>
  </sheetData>
  <autoFilter ref="A1:O153"/>
  <dataValidations count="2">
    <dataValidation sqref="L2:L153" showDropDown="0" showInputMessage="0" showErrorMessage="0" allowBlank="1" type="list">
      <formula1>"Chưa test,Đạt,Lỗi,Bỏ qua"</formula1>
    </dataValidation>
    <dataValidation sqref="J2:J153" showDropDown="0" showInputMessage="0" showErrorMessage="0" allowBlank="1" type="list">
      <formula1>"Cao,Trung bình,Thấp"</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24" customWidth="1" min="3" max="3"/>
    <col width="24" customWidth="1" min="4" max="4"/>
    <col width="11" customWidth="1" min="5" max="5"/>
    <col width="34" customWidth="1" min="6" max="6"/>
    <col width="26" customWidth="1" min="7" max="7"/>
    <col width="48" customWidth="1" min="8" max="8"/>
    <col width="52" customWidth="1" min="9" max="9"/>
    <col width="10" customWidth="1" min="10" max="10"/>
    <col width="30" customWidth="1" min="11" max="11"/>
    <col width="12" customWidth="1" min="12" max="12"/>
    <col width="13" customWidth="1" min="13" max="13"/>
    <col width="11" customWidth="1" min="14" max="14"/>
    <col width="26" customWidth="1" min="15" max="15"/>
  </cols>
  <sheetData>
    <row r="1" ht="30" customHeight="1">
      <c r="A1" s="15" t="inlineStr">
        <is>
          <t>Mã TC</t>
        </is>
      </c>
      <c r="B1" s="15" t="inlineStr">
        <is>
          <t>Phân hệ</t>
        </is>
      </c>
      <c r="C1" s="15" t="inlineStr">
        <is>
          <t>Màn hình</t>
        </is>
      </c>
      <c r="D1" s="15" t="inlineStr">
        <is>
          <t>Vào từ</t>
        </is>
      </c>
      <c r="E1" s="15" t="inlineStr">
        <is>
          <t>Loại kiểm</t>
        </is>
      </c>
      <c r="F1" s="15" t="inlineStr">
        <is>
          <t>Mục đích</t>
        </is>
      </c>
      <c r="G1" s="15" t="inlineStr">
        <is>
          <t>Tiền điều kiện</t>
        </is>
      </c>
      <c r="H1" s="15" t="inlineStr">
        <is>
          <t>Các bước</t>
        </is>
      </c>
      <c r="I1" s="15" t="inlineStr">
        <is>
          <t>Kết quả mong đợi</t>
        </is>
      </c>
      <c r="J1" s="15" t="inlineStr">
        <is>
          <t>Ưu tiên</t>
        </is>
      </c>
      <c r="K1" s="15" t="inlineStr">
        <is>
          <t>Kết quả thực tế</t>
        </is>
      </c>
      <c r="L1" s="15" t="inlineStr">
        <is>
          <t>Trạng thái</t>
        </is>
      </c>
      <c r="M1" s="15" t="inlineStr">
        <is>
          <t>Người test</t>
        </is>
      </c>
      <c r="N1" s="15" t="inlineStr">
        <is>
          <t>Ngày test</t>
        </is>
      </c>
      <c r="O1" s="15" t="inlineStr">
        <is>
          <t>Ghi chú</t>
        </is>
      </c>
    </row>
    <row r="2">
      <c r="A2" s="16" t="inlineStr">
        <is>
          <t>A-KA-001</t>
        </is>
      </c>
      <c r="B2" s="16" t="inlineStr">
        <is>
          <t>Khung app</t>
        </is>
      </c>
      <c r="C2" s="16" t="inlineStr">
        <is>
          <t>Thanh tab đáy</t>
        </is>
      </c>
      <c r="D2" s="16" t="inlineStr">
        <is>
          <t>Mọi màn gốc</t>
        </is>
      </c>
      <c r="E2" s="16" t="inlineStr">
        <is>
          <t>Hiển thị</t>
        </is>
      </c>
      <c r="F2" s="16" t="inlineStr">
        <is>
          <t>4 tab đáy và tab đang sáng</t>
        </is>
      </c>
      <c r="G2" s="16" t="inlineStr">
        <is>
          <t>App điện thoại (màn rộng dưới 768px), đơn vị Phố Mây gói Standard, hộ kinh doanh TT152</t>
        </is>
      </c>
      <c r="H2" s="16" t="inlineStr">
        <is>
          <t>1. Mở app
2. Bấm lần lượt Trang chủ, Nghiệp vụ, Báo cáo, Khác
3. Mở một màn Danh mục, một màn Hệ thống</t>
        </is>
      </c>
      <c r="I2" s="16" t="inlineStr">
        <is>
          <t>Có 4 tab, tab đang mở sáng đúng. Màn Danh mục, Hệ thống thuộc tab Khác</t>
        </is>
      </c>
      <c r="J2" s="16" t="inlineStr">
        <is>
          <t>Cao</t>
        </is>
      </c>
      <c r="K2" s="17" t="n"/>
      <c r="L2" s="17" t="inlineStr">
        <is>
          <t>Chưa test</t>
        </is>
      </c>
      <c r="M2" s="17" t="n"/>
      <c r="N2" s="18" t="n"/>
      <c r="O2" s="17" t="n"/>
    </row>
    <row r="3">
      <c r="A3" s="16" t="inlineStr">
        <is>
          <t>A-KA-002</t>
        </is>
      </c>
      <c r="B3" s="16" t="inlineStr">
        <is>
          <t>Khung app</t>
        </is>
      </c>
      <c r="C3" s="16" t="inlineStr">
        <is>
          <t>Thanh tab đáy</t>
        </is>
      </c>
      <c r="D3" s="16" t="inlineStr">
        <is>
          <t>Mọi màn gốc</t>
        </is>
      </c>
      <c r="E3" s="16" t="inlineStr">
        <is>
          <t>Hiển thị</t>
        </is>
      </c>
      <c r="F3" s="16" t="inlineStr">
        <is>
          <t>Ẩn hiện khi cuộn</t>
        </is>
      </c>
      <c r="G3" s="16" t="inlineStr">
        <is>
          <t>App điện thoại (màn rộng dưới 768px), đơn vị Phố Mây gói Standard, hộ kinh doanh TT152</t>
        </is>
      </c>
      <c r="H3" s="16" t="inlineStr">
        <is>
          <t>1. Ở Trang chủ cuộn xuống
2. Cuộn lên
3. Cuộn về sát đầu trang
4. Đổi sang màn khác</t>
        </is>
      </c>
      <c r="I3" s="16" t="inlineStr">
        <is>
          <t>Cuộn xuống thì thanh trượt ẩn; cuộn lên thì hiện; sát đầu trang luôn hiện; đổi màn thì hiện lại</t>
        </is>
      </c>
      <c r="J3" s="16" t="inlineStr">
        <is>
          <t>Trung bình</t>
        </is>
      </c>
      <c r="K3" s="17" t="n"/>
      <c r="L3" s="17" t="inlineStr">
        <is>
          <t>Chưa test</t>
        </is>
      </c>
      <c r="M3" s="17" t="n"/>
      <c r="N3" s="18" t="n"/>
      <c r="O3" s="17" t="n"/>
    </row>
    <row r="4">
      <c r="A4" s="16" t="inlineStr">
        <is>
          <t>A-KA-003</t>
        </is>
      </c>
      <c r="B4" s="16" t="inlineStr">
        <is>
          <t>Khung app</t>
        </is>
      </c>
      <c r="C4" s="16" t="inlineStr">
        <is>
          <t>Thanh tab đáy</t>
        </is>
      </c>
      <c r="D4" s="16" t="inlineStr">
        <is>
          <t>Màn cấp 2</t>
        </is>
      </c>
      <c r="E4" s="16" t="inlineStr">
        <is>
          <t>Hiển thị</t>
        </is>
      </c>
      <c r="F4" s="16" t="inlineStr">
        <is>
          <t>Ẩn thanh tab ở màn cấp 2</t>
        </is>
      </c>
      <c r="G4" s="16" t="inlineStr">
        <is>
          <t>App điện thoại (màn rộng dưới 768px), đơn vị Phố Mây gói Standard, hộ kinh doanh TT152</t>
        </is>
      </c>
      <c r="H4" s="16" t="inlineStr">
        <is>
          <t>1. Mở xem một phiếu
2. Mở một báo cáo
3. Mở Lịch sử thu chi, Chi phí hoạt động
4. Mở một màn con Danh mục, Hệ thống, Khoá sổ</t>
        </is>
      </c>
      <c r="I4" s="16" t="inlineStr">
        <is>
          <t>Các màn này không có thanh tab đáy, có nút Quay lại trên đầu</t>
        </is>
      </c>
      <c r="J4" s="16" t="inlineStr">
        <is>
          <t>Cao</t>
        </is>
      </c>
      <c r="K4" s="17" t="n"/>
      <c r="L4" s="17" t="inlineStr">
        <is>
          <t>Chưa test</t>
        </is>
      </c>
      <c r="M4" s="17" t="n"/>
      <c r="N4" s="18" t="n"/>
      <c r="O4" s="17" t="n"/>
    </row>
    <row r="5">
      <c r="A5" s="16" t="inlineStr">
        <is>
          <t>A-KA-004</t>
        </is>
      </c>
      <c r="B5" s="16" t="inlineStr">
        <is>
          <t>Khung app</t>
        </is>
      </c>
      <c r="C5" s="16" t="inlineStr">
        <is>
          <t>Thanh trên</t>
        </is>
      </c>
      <c r="D5" s="16" t="inlineStr">
        <is>
          <t>Màn danh sách</t>
        </is>
      </c>
      <c r="E5" s="16" t="inlineStr">
        <is>
          <t>Chức năng</t>
        </is>
      </c>
      <c r="F5" s="16" t="inlineStr">
        <is>
          <t>Chip chọn cửa hàng</t>
        </is>
      </c>
      <c r="G5" s="16" t="inlineStr">
        <is>
          <t>App điện thoại (màn rộng dưới 768px), đơn vị Phố Mây gói Standard, hộ kinh doanh TT152</t>
        </is>
      </c>
      <c r="H5" s="16" t="inlineStr">
        <is>
          <t>1. Mở danh sách phiếu thu chi
2. Bấm chip cửa hàng
3. Chọn Tất cả cửa hàng, rồi chọn cửa hàng A</t>
        </is>
      </c>
      <c r="I5" s="16" t="inlineStr">
        <is>
          <t>Có mục Tất cả cửa hàng kèm dòng 'Chỉ xem gộp, chưa lập chứng từ'. Chọn A thì danh sách chỉ còn phiếu của A</t>
        </is>
      </c>
      <c r="J5" s="16" t="inlineStr">
        <is>
          <t>Cao</t>
        </is>
      </c>
      <c r="K5" s="17" t="n"/>
      <c r="L5" s="17" t="inlineStr">
        <is>
          <t>Chưa test</t>
        </is>
      </c>
      <c r="M5" s="17" t="n"/>
      <c r="N5" s="18" t="n"/>
      <c r="O5" s="17" t="n"/>
    </row>
    <row r="6">
      <c r="A6" s="16" t="inlineStr">
        <is>
          <t>A-KA-005</t>
        </is>
      </c>
      <c r="B6" s="16" t="inlineStr">
        <is>
          <t>Khung app</t>
        </is>
      </c>
      <c r="C6" s="16" t="inlineStr">
        <is>
          <t>Thanh trên</t>
        </is>
      </c>
      <c r="D6" s="16" t="inlineStr">
        <is>
          <t>Màn danh sách</t>
        </is>
      </c>
      <c r="E6" s="16" t="inlineStr">
        <is>
          <t>Ràng buộc</t>
        </is>
      </c>
      <c r="F6" s="16" t="inlineStr">
        <is>
          <t>Lập phiếu khi đang xem Tất cả cửa hàng</t>
        </is>
      </c>
      <c r="G6" s="16" t="inlineStr">
        <is>
          <t>App điện thoại (màn rộng dưới 768px), đơn vị Phố Mây gói Standard, hộ kinh doanh TT152</t>
        </is>
      </c>
      <c r="H6" s="16" t="inlineStr">
        <is>
          <t>1. Chọn Tất cả cửa hàng (chưa từng chọn cửa hàng nào)
2. Bấm + lập phiếu
3. Bấm Đóng ở tấm chọn cửa hàng
4. Lặp lại, lần này chọn cửa hàng A</t>
        </is>
      </c>
      <c r="I6" s="16" t="inlineStr">
        <is>
          <t>Hiện tấm chọn cửa hàng trước. Đóng thì quay về trang trước. Chọn A thì mở form gắn cửa hàng A. Lần sau đã nhớ cửa hàng thì tự chọn cửa hàng đó</t>
        </is>
      </c>
      <c r="J6" s="16" t="inlineStr">
        <is>
          <t>Cao</t>
        </is>
      </c>
      <c r="K6" s="17" t="n"/>
      <c r="L6" s="17" t="inlineStr">
        <is>
          <t>Chưa test</t>
        </is>
      </c>
      <c r="M6" s="17" t="n"/>
      <c r="N6" s="18" t="n"/>
      <c r="O6" s="17" t="n"/>
    </row>
    <row r="7">
      <c r="A7" s="16" t="inlineStr">
        <is>
          <t>A-KA-006</t>
        </is>
      </c>
      <c r="B7" s="16" t="inlineStr">
        <is>
          <t>Khung app</t>
        </is>
      </c>
      <c r="C7" s="16" t="inlineStr">
        <is>
          <t>Thanh trên</t>
        </is>
      </c>
      <c r="D7" s="16" t="inlineStr">
        <is>
          <t>Màn báo cáo</t>
        </is>
      </c>
      <c r="E7" s="16" t="inlineStr">
        <is>
          <t>Hiển thị</t>
        </is>
      </c>
      <c r="F7" s="16" t="inlineStr">
        <is>
          <t>Nút Bộ lọc báo cáo</t>
        </is>
      </c>
      <c r="G7" s="16" t="inlineStr">
        <is>
          <t>App điện thoại (màn rộng dưới 768px), đơn vị Phố Mây gói Standard, hộ kinh doanh TT152</t>
        </is>
      </c>
      <c r="H7" s="16" t="inlineStr">
        <is>
          <t>1. Mở một báo cáo</t>
        </is>
      </c>
      <c r="I7" s="16" t="inlineStr">
        <is>
          <t>Góc phải thanh trên là nút phễu Bộ lọc báo cáo thay cho chip cửa hàng</t>
        </is>
      </c>
      <c r="J7" s="16" t="inlineStr">
        <is>
          <t>Trung bình</t>
        </is>
      </c>
      <c r="K7" s="17" t="n"/>
      <c r="L7" s="17" t="inlineStr">
        <is>
          <t>Chưa test</t>
        </is>
      </c>
      <c r="M7" s="17" t="n"/>
      <c r="N7" s="18" t="n"/>
      <c r="O7" s="17" t="n"/>
    </row>
    <row r="8">
      <c r="A8" s="16" t="inlineStr">
        <is>
          <t>A-KA-007</t>
        </is>
      </c>
      <c r="B8" s="16" t="inlineStr">
        <is>
          <t>Khung app</t>
        </is>
      </c>
      <c r="C8" s="16" t="inlineStr">
        <is>
          <t>Chỉ dùng trên máy tính</t>
        </is>
      </c>
      <c r="D8" s="16" t="inlineStr">
        <is>
          <t>Gõ đường dẫn</t>
        </is>
      </c>
      <c r="E8" s="16" t="inlineStr">
        <is>
          <t>Hiển thị</t>
        </is>
      </c>
      <c r="F8" s="16" t="inlineStr">
        <is>
          <t>Màn chưa có bản điện thoại</t>
        </is>
      </c>
      <c r="G8" s="16" t="inlineStr">
        <is>
          <t>App điện thoại (màn rộng dưới 768px), đơn vị Phố Mây gói Standard, hộ kinh doanh TT152</t>
        </is>
      </c>
      <c r="H8" s="16" t="inlineStr">
        <is>
          <t>1. Gõ đường dẫn một màn chỉ có trên web
2. Bấm nút về Nghiệp vụ</t>
        </is>
      </c>
      <c r="I8" s="16" t="inlineStr">
        <is>
          <t>Hiện 'Chỉ dùng trên máy tính'; nút đưa về tab Nghiệp vụ</t>
        </is>
      </c>
      <c r="J8" s="16" t="inlineStr">
        <is>
          <t>Thấp</t>
        </is>
      </c>
      <c r="K8" s="17" t="n"/>
      <c r="L8" s="17" t="inlineStr">
        <is>
          <t>Chưa test</t>
        </is>
      </c>
      <c r="M8" s="17" t="n"/>
      <c r="N8" s="18" t="n"/>
      <c r="O8" s="17" t="n"/>
    </row>
    <row r="9">
      <c r="A9" s="16" t="inlineStr">
        <is>
          <t>A-KA-008</t>
        </is>
      </c>
      <c r="B9" s="16" t="inlineStr">
        <is>
          <t>Khung app</t>
        </is>
      </c>
      <c r="C9" s="16" t="inlineStr">
        <is>
          <t>Đổi cỡ màn</t>
        </is>
      </c>
      <c r="D9" s="16" t="inlineStr">
        <is>
          <t>Mọi màn</t>
        </is>
      </c>
      <c r="E9" s="16" t="inlineStr">
        <is>
          <t>Hiển thị</t>
        </is>
      </c>
      <c r="F9" s="16" t="inlineStr">
        <is>
          <t>Chuyển qua lại web và app</t>
        </is>
      </c>
      <c r="G9" s="16" t="inlineStr">
        <is>
          <t>App điện thoại (màn rộng dưới 768px), đơn vị Phố Mây gói Standard, hộ kinh doanh TT152</t>
        </is>
      </c>
      <c r="H9" s="16" t="inlineStr">
        <is>
          <t>1. Mở màn ở bề rộng ≥ 768px
2. Thu nhỏ dưới 768px
3. Mở rộng lại</t>
        </is>
      </c>
      <c r="I9" s="16" t="inlineStr">
        <is>
          <t>Dưới 768px dùng giao diện app, từ 768px dùng giao diện web, không mất dữ liệu đang xem</t>
        </is>
      </c>
      <c r="J9" s="16" t="inlineStr">
        <is>
          <t>Thấp</t>
        </is>
      </c>
      <c r="K9" s="17" t="n"/>
      <c r="L9" s="17" t="inlineStr">
        <is>
          <t>Chưa test</t>
        </is>
      </c>
      <c r="M9" s="17" t="n"/>
      <c r="N9" s="18" t="n"/>
      <c r="O9" s="17" t="n"/>
    </row>
    <row r="10">
      <c r="A10" s="16" t="inlineStr">
        <is>
          <t>A-KA-009</t>
        </is>
      </c>
      <c r="B10" s="16" t="inlineStr">
        <is>
          <t>Khung app</t>
        </is>
      </c>
      <c r="C10" s="16" t="inlineStr">
        <is>
          <t>Ngoài gói</t>
        </is>
      </c>
      <c r="D10" s="16" t="inlineStr">
        <is>
          <t>Mọi tab</t>
        </is>
      </c>
      <c r="E10" s="16" t="inlineStr">
        <is>
          <t>Hiển thị</t>
        </is>
      </c>
      <c r="F10" s="16" t="inlineStr">
        <is>
          <t>Không hiện tính năng ngoài gói</t>
        </is>
      </c>
      <c r="G10" s="16" t="inlineStr">
        <is>
          <t>App điện thoại (màn rộng dưới 768px), đơn vị Phố Mây gói Standard, hộ kinh doanh TT152</t>
        </is>
      </c>
      <c r="H10" s="16" t="inlineStr">
        <is>
          <t>1. Xem tab Nghiệp vụ, Báo cáo, Khác</t>
        </is>
      </c>
      <c r="I10" s="16" t="inlineStr">
        <is>
          <t>Không có Tổng hợp, Tiện ích, TSCĐ, Giá thành, Người dùng, Phân quyền, Danh mục tài khoản, Tờ khai GTGT, Nhập/xuất kho, Điều chuyển; không có biểu tượng khoá mời nâng cấp</t>
        </is>
      </c>
      <c r="J10" s="16" t="inlineStr">
        <is>
          <t>Cao</t>
        </is>
      </c>
      <c r="K10" s="17" t="n"/>
      <c r="L10" s="17" t="inlineStr">
        <is>
          <t>Chưa test</t>
        </is>
      </c>
      <c r="M10" s="17" t="n"/>
      <c r="N10" s="18" t="n"/>
      <c r="O10" s="17" t="n"/>
    </row>
    <row r="11">
      <c r="A11" s="16" t="inlineStr">
        <is>
          <t>A-KT-001</t>
        </is>
      </c>
      <c r="B11" s="16" t="inlineStr">
        <is>
          <t>Đăng nhập, khởi tạo</t>
        </is>
      </c>
      <c r="C11" s="16" t="inlineStr">
        <is>
          <t>Đăng nhập</t>
        </is>
      </c>
      <c r="D11" s="16" t="inlineStr">
        <is>
          <t>Mở app</t>
        </is>
      </c>
      <c r="E11" s="16" t="inlineStr">
        <is>
          <t>Ràng buộc</t>
        </is>
      </c>
      <c r="F11" s="16" t="inlineStr">
        <is>
          <t>Đăng nhập trên điện thoại</t>
        </is>
      </c>
      <c r="G11" s="16" t="inlineStr">
        <is>
          <t>App điện thoại, chưa đăng nhập</t>
        </is>
      </c>
      <c r="H11" s="16" t="inlineStr">
        <is>
          <t>1. Để trống tài khoản
2. Mật khẩu dưới 6 ký tự
3. Nhập đúng</t>
        </is>
      </c>
      <c r="I11" s="16" t="inlineStr">
        <is>
          <t>Bước 1, 2 báo lỗi; bước 3 vào chọn đơn vị</t>
        </is>
      </c>
      <c r="J11" s="16" t="inlineStr">
        <is>
          <t>Cao</t>
        </is>
      </c>
      <c r="K11" s="17" t="n"/>
      <c r="L11" s="17" t="inlineStr">
        <is>
          <t>Chưa test</t>
        </is>
      </c>
      <c r="M11" s="17" t="n"/>
      <c r="N11" s="18" t="n"/>
      <c r="O11" s="17" t="n"/>
    </row>
    <row r="12">
      <c r="A12" s="16" t="inlineStr">
        <is>
          <t>A-KT-002</t>
        </is>
      </c>
      <c r="B12" s="16" t="inlineStr">
        <is>
          <t>Đăng nhập, khởi tạo</t>
        </is>
      </c>
      <c r="C12" s="16" t="inlineStr">
        <is>
          <t>Mở từ FABi (điện thoại)</t>
        </is>
      </c>
      <c r="D12" s="16" t="inlineStr">
        <is>
          <t>Thử mở từ FABi</t>
        </is>
      </c>
      <c r="E12" s="16" t="inlineStr">
        <is>
          <t>Hiển thị</t>
        </is>
      </c>
      <c r="F12" s="16" t="inlineStr">
        <is>
          <t>4 màn mở từ FABi trên điện thoại</t>
        </is>
      </c>
      <c r="G12" s="16" t="inlineStr">
        <is>
          <t>App điện thoại, đã đăng nhập</t>
        </is>
      </c>
      <c r="H12" s="16" t="inlineStr">
        <is>
          <t>1. Bấm Thử mở từ FABi
2. Đi qua Chào, Giao diện kế toán, Chọn cửa hàng
3. Bấm Dùng thử</t>
        </is>
      </c>
      <c r="I12" s="16" t="inlineStr">
        <is>
          <t>Màn Giao diện dùng ảnh trang chủ app đánh số 1–5; Quay lại và Dùng thử ghim đáy thành 2 ô; vào app, popup khởi tạo hiện đè</t>
        </is>
      </c>
      <c r="J12" s="16" t="inlineStr">
        <is>
          <t>Cao</t>
        </is>
      </c>
      <c r="K12" s="17" t="n"/>
      <c r="L12" s="17" t="inlineStr">
        <is>
          <t>Chưa test</t>
        </is>
      </c>
      <c r="M12" s="17" t="n"/>
      <c r="N12" s="18" t="n"/>
      <c r="O12" s="17" t="n"/>
    </row>
    <row r="13">
      <c r="A13" s="16" t="inlineStr">
        <is>
          <t>A-KT-003</t>
        </is>
      </c>
      <c r="B13" s="16" t="inlineStr">
        <is>
          <t>Đăng nhập, khởi tạo</t>
        </is>
      </c>
      <c r="C13" s="16" t="inlineStr">
        <is>
          <t>Popup khởi tạo (điện thoại)</t>
        </is>
      </c>
      <c r="D13" s="16" t="inlineStr">
        <is>
          <t>Sau Dùng thử</t>
        </is>
      </c>
      <c r="E13" s="16" t="inlineStr">
        <is>
          <t>Hiển thị</t>
        </is>
      </c>
      <c r="F13" s="16" t="inlineStr">
        <is>
          <t>Popup khởi tạo vừa màn điện thoại</t>
        </is>
      </c>
      <c r="G13" s="16" t="inlineStr">
        <is>
          <t>Vừa tạo đơn vị từ FABi trên điện thoại</t>
        </is>
      </c>
      <c r="H13" s="16" t="inlineStr">
        <is>
          <t>1. Đi hết 3 bước và Lấy dữ liệu</t>
        </is>
      </c>
      <c r="I13" s="16" t="inlineStr">
        <is>
          <t>Hàng nút Quay lại, Tiếp tục ghim sát đáy, không phải cuộn mới thấy; nội dung không tràn ngang</t>
        </is>
      </c>
      <c r="J13" s="16" t="inlineStr">
        <is>
          <t>Trung bình</t>
        </is>
      </c>
      <c r="K13" s="17" t="n"/>
      <c r="L13" s="17" t="inlineStr">
        <is>
          <t>Chưa test</t>
        </is>
      </c>
      <c r="M13" s="17" t="n"/>
      <c r="N13" s="18" t="n"/>
      <c r="O13" s="17" t="n"/>
    </row>
    <row r="14">
      <c r="A14" s="16" t="inlineStr">
        <is>
          <t>A-TC-001</t>
        </is>
      </c>
      <c r="B14" s="16" t="inlineStr">
        <is>
          <t>Trang chủ</t>
        </is>
      </c>
      <c r="C14" s="16" t="inlineStr">
        <is>
          <t>Trang chủ</t>
        </is>
      </c>
      <c r="D14" s="16" t="inlineStr">
        <is>
          <t>Tab Trang chủ</t>
        </is>
      </c>
      <c r="E14" s="16" t="inlineStr">
        <is>
          <t>Hiển thị</t>
        </is>
      </c>
      <c r="F14" s="16" t="inlineStr">
        <is>
          <t>Bố cục trang chủ Standard</t>
        </is>
      </c>
      <c r="G14" s="16" t="inlineStr">
        <is>
          <t>App điện thoại (màn rộng dưới 768px), đơn vị Phố Mây gói Standard, hộ kinh doanh TT152</t>
        </is>
      </c>
      <c r="H14" s="16" t="inlineStr">
        <is>
          <t>1. Mở tab Trang chủ</t>
        </is>
      </c>
      <c r="I14" s="16" t="inlineStr">
        <is>
          <t>Từ trên xuống: nút tìm kiếm, chip Cửa hàng / Năm / Tháng, Thao tác nhanh, nhắc khoá sổ (nếu có), Kết quả kinh doanh, Quỹ tiền, Mua hàng &amp; công nợ NCC, Hao hụt kiểm kê</t>
        </is>
      </c>
      <c r="J14" s="16" t="inlineStr">
        <is>
          <t>Cao</t>
        </is>
      </c>
      <c r="K14" s="17" t="n"/>
      <c r="L14" s="17" t="inlineStr">
        <is>
          <t>Chưa test</t>
        </is>
      </c>
      <c r="M14" s="17" t="n"/>
      <c r="N14" s="18" t="n"/>
      <c r="O14" s="17" t="n"/>
    </row>
    <row r="15">
      <c r="A15" s="16" t="inlineStr">
        <is>
          <t>A-TC-002</t>
        </is>
      </c>
      <c r="B15" s="16" t="inlineStr">
        <is>
          <t>Trang chủ</t>
        </is>
      </c>
      <c r="C15" s="16" t="inlineStr">
        <is>
          <t>Trang chủ</t>
        </is>
      </c>
      <c r="D15" s="16" t="inlineStr">
        <is>
          <t>Tab Trang chủ</t>
        </is>
      </c>
      <c r="E15" s="16" t="inlineStr">
        <is>
          <t>Chức năng</t>
        </is>
      </c>
      <c r="F15" s="16" t="inlineStr">
        <is>
          <t>Chip Năm, Tháng, Cửa hàng</t>
        </is>
      </c>
      <c r="G15" s="16" t="inlineStr">
        <is>
          <t>App điện thoại (màn rộng dưới 768px), đơn vị Phố Mây gói Standard, hộ kinh doanh TT152</t>
        </is>
      </c>
      <c r="H15" s="16" t="inlineStr">
        <is>
          <t>1. Bấm chip Năm
2. Bấm chip Tháng, chọn 9
3. Bấm chip Cửa hàng, chọn A rồi Tất cả</t>
        </is>
      </c>
      <c r="I15" s="16" t="inlineStr">
        <is>
          <t>Năm chỉ có 2026; Tháng chỉ 7–10, mặc định 10. Đổi tháng, cửa hàng thì mọi khối tính lại</t>
        </is>
      </c>
      <c r="J15" s="16" t="inlineStr">
        <is>
          <t>Cao</t>
        </is>
      </c>
      <c r="K15" s="17" t="n"/>
      <c r="L15" s="17" t="inlineStr">
        <is>
          <t>Chưa test</t>
        </is>
      </c>
      <c r="M15" s="17" t="n"/>
      <c r="N15" s="18" t="n"/>
      <c r="O15" s="17" t="n"/>
    </row>
    <row r="16">
      <c r="A16" s="16" t="inlineStr">
        <is>
          <t>A-TC-003</t>
        </is>
      </c>
      <c r="B16" s="16" t="inlineStr">
        <is>
          <t>Trang chủ</t>
        </is>
      </c>
      <c r="C16" s="16" t="inlineStr">
        <is>
          <t>Thao tác nhanh</t>
        </is>
      </c>
      <c r="D16" s="16" t="inlineStr">
        <is>
          <t>Trang chủ</t>
        </is>
      </c>
      <c r="E16" s="16" t="inlineStr">
        <is>
          <t>Chức năng</t>
        </is>
      </c>
      <c r="F16" s="16" t="inlineStr">
        <is>
          <t>5 ô mặc định</t>
        </is>
      </c>
      <c r="G16" s="16" t="inlineStr">
        <is>
          <t>App điện thoại (màn rộng dưới 768px), đơn vị Phố Mây gói Standard, hộ kinh doanh TT152</t>
        </is>
      </c>
      <c r="H16" s="16" t="inlineStr">
        <is>
          <t>1. Xem Thao tác nhanh
2. Bấm Thu tiền, Chi tiền</t>
        </is>
      </c>
      <c r="I16" s="16" t="inlineStr">
        <is>
          <t>Mặc định Thu tiền, Chi tiền, Nhập mua, Kiểm kê, Kê khai thuế. Thu, Chi hỏi tiền mặt hay ngân hàng trước rồi mở form</t>
        </is>
      </c>
      <c r="J16" s="16" t="inlineStr">
        <is>
          <t>Cao</t>
        </is>
      </c>
      <c r="K16" s="17" t="n"/>
      <c r="L16" s="17" t="inlineStr">
        <is>
          <t>Chưa test</t>
        </is>
      </c>
      <c r="M16" s="17" t="n"/>
      <c r="N16" s="18" t="n"/>
      <c r="O16" s="17" t="n"/>
    </row>
    <row r="17">
      <c r="A17" s="16" t="inlineStr">
        <is>
          <t>A-TC-004</t>
        </is>
      </c>
      <c r="B17" s="16" t="inlineStr">
        <is>
          <t>Trang chủ</t>
        </is>
      </c>
      <c r="C17" s="16" t="inlineStr">
        <is>
          <t>Thao tác nhanh</t>
        </is>
      </c>
      <c r="D17" s="16" t="inlineStr">
        <is>
          <t>Trang chủ › Tuỳ chỉnh</t>
        </is>
      </c>
      <c r="E17" s="16" t="inlineStr">
        <is>
          <t>Chức năng</t>
        </is>
      </c>
      <c r="F17" s="16" t="inlineStr">
        <is>
          <t>Tuỳ chỉnh thao tác nhanh</t>
        </is>
      </c>
      <c r="G17" s="16" t="inlineStr">
        <is>
          <t>App điện thoại (màn rộng dưới 768px), đơn vị Phố Mây gói Standard, hộ kinh doanh TT152</t>
        </is>
      </c>
      <c r="H17" s="16" t="inlineStr">
        <is>
          <t>1. Bấm Tuỳ chỉnh
2. Chọn thêm, đổi thứ tự lên/xuống, bỏ chọn, tìm
3. Chọn tới mục thứ 9
4. Lưu
5. Bấm Khôi phục</t>
        </is>
      </c>
      <c r="I17" s="16" t="inlineStr">
        <is>
          <t>Chọn quá 8 báo 'Tối đa 8 thao tác'. Lưu xong trang chủ hiện tối đa 5 ô theo thứ tự mới. Khôi phục về mặc định. Không có mục ngoài gói</t>
        </is>
      </c>
      <c r="J17" s="16" t="inlineStr">
        <is>
          <t>Trung bình</t>
        </is>
      </c>
      <c r="K17" s="17" t="n"/>
      <c r="L17" s="17" t="inlineStr">
        <is>
          <t>Chưa test</t>
        </is>
      </c>
      <c r="M17" s="17" t="n"/>
      <c r="N17" s="18" t="n"/>
      <c r="O17" s="17" t="n"/>
    </row>
    <row r="18">
      <c r="A18" s="16" t="inlineStr">
        <is>
          <t>A-TC-005</t>
        </is>
      </c>
      <c r="B18" s="16" t="inlineStr">
        <is>
          <t>Trang chủ</t>
        </is>
      </c>
      <c r="C18" s="16" t="inlineStr">
        <is>
          <t>Nhắc khoá sổ</t>
        </is>
      </c>
      <c r="D18" s="16" t="inlineStr">
        <is>
          <t>Trang chủ</t>
        </is>
      </c>
      <c r="E18" s="16" t="inlineStr">
        <is>
          <t>Chức năng</t>
        </is>
      </c>
      <c r="F18" s="16" t="inlineStr">
        <is>
          <t>Dải nhắc khoá sổ</t>
        </is>
      </c>
      <c r="G18" s="16" t="inlineStr">
        <is>
          <t>App điện thoại (màn rộng dưới 768px), đơn vị Phố Mây gói Standard, hộ kinh doanh TT152</t>
        </is>
      </c>
      <c r="H18" s="16" t="inlineStr">
        <is>
          <t>1. Để mốc khoá sổ cũ hơn kỳ đang mở từ 2 tháng
2. Bấm 'Khoá sổ ›'
3. Khoá đủ rồi về trang chủ</t>
        </is>
      </c>
      <c r="I18" s="16" t="inlineStr">
        <is>
          <t>Hiện 'Tháng X/YYYY chưa khoá sổ'; bấm mở Khoá sổ; khoá xong thì hết nhắc</t>
        </is>
      </c>
      <c r="J18" s="16" t="inlineStr">
        <is>
          <t>Trung bình</t>
        </is>
      </c>
      <c r="K18" s="17" t="n"/>
      <c r="L18" s="17" t="inlineStr">
        <is>
          <t>Chưa test</t>
        </is>
      </c>
      <c r="M18" s="17" t="n"/>
      <c r="N18" s="18" t="n"/>
      <c r="O18" s="17" t="n"/>
    </row>
    <row r="19">
      <c r="A19" s="16" t="inlineStr">
        <is>
          <t>A-TC-006</t>
        </is>
      </c>
      <c r="B19" s="16" t="inlineStr">
        <is>
          <t>Trang chủ</t>
        </is>
      </c>
      <c r="C19" s="16" t="inlineStr">
        <is>
          <t>Kết quả kinh doanh</t>
        </is>
      </c>
      <c r="D19" s="16" t="inlineStr">
        <is>
          <t>Trang chủ</t>
        </is>
      </c>
      <c r="E19" s="16" t="inlineStr">
        <is>
          <t>Tích hợp</t>
        </is>
      </c>
      <c r="F19" s="16" t="inlineStr">
        <is>
          <t>Lợi nhuận và các dòng chi phí</t>
        </is>
      </c>
      <c r="G19" s="16" t="inlineStr">
        <is>
          <t>App điện thoại (màn rộng dưới 768px), đơn vị Phố Mây gói Standard, hộ kinh doanh TT152</t>
        </is>
      </c>
      <c r="H19" s="16" t="inlineStr">
        <is>
          <t>1. Chọn tháng 10, cửa hàng A
2. Đọc lợi nhuận, biên, các dòng
3. So với web cùng tháng, cửa hàng</t>
        </is>
      </c>
      <c r="I19" s="16" t="inlineStr">
        <is>
          <t>Lợi nhuận = Doanh thu thuần − NVL − Hoạt động − Phân bổ; lỗ thì hiện 'Lỗ …'. Số khớp trang chủ web</t>
        </is>
      </c>
      <c r="J19" s="16" t="inlineStr">
        <is>
          <t>Cao</t>
        </is>
      </c>
      <c r="K19" s="17" t="n"/>
      <c r="L19" s="17" t="inlineStr">
        <is>
          <t>Chưa test</t>
        </is>
      </c>
      <c r="M19" s="17" t="n"/>
      <c r="N19" s="18" t="n"/>
      <c r="O19" s="17" t="n"/>
    </row>
    <row r="20">
      <c r="A20" s="16" t="inlineStr">
        <is>
          <t>A-TC-007</t>
        </is>
      </c>
      <c r="B20" s="16" t="inlineStr">
        <is>
          <t>Trang chủ</t>
        </is>
      </c>
      <c r="C20" s="16" t="inlineStr">
        <is>
          <t>Kết quả kinh doanh</t>
        </is>
      </c>
      <c r="D20" s="16" t="inlineStr">
        <is>
          <t>Trang chủ</t>
        </is>
      </c>
      <c r="E20" s="16" t="inlineStr">
        <is>
          <t>Chức năng</t>
        </is>
      </c>
      <c r="F20" s="16" t="inlineStr">
        <is>
          <t>Các link trong thẻ KQKD</t>
        </is>
      </c>
      <c r="G20" s="16" t="inlineStr">
        <is>
          <t>App điện thoại (màn rộng dưới 768px), đơn vị Phố Mây gói Standard, hộ kinh doanh TT152</t>
        </is>
      </c>
      <c r="H20" s="16" t="inlineStr">
        <is>
          <t>1. Bấm 'Xem BC ›'
2. Bấm Chi phí NVL
3. Bấm Chi phí hoạt động
4. Bấm Chi phí phân bổ nhiều tháng
5. Bấm Xem hiệu quả kinh doanh 13 tháng</t>
        </is>
      </c>
      <c r="I20" s="16" t="inlineStr">
        <is>
          <t>Mở lần lượt: KQKD 10.2.3, màn Chi phí NVL, màn Chi phí hoạt động, Chi phí phân bổ 8.1.1, hộp lãi lỗ 13 tháng</t>
        </is>
      </c>
      <c r="J20" s="16" t="inlineStr">
        <is>
          <t>Cao</t>
        </is>
      </c>
      <c r="K20" s="17" t="n"/>
      <c r="L20" s="17" t="inlineStr">
        <is>
          <t>Chưa test</t>
        </is>
      </c>
      <c r="M20" s="17" t="n"/>
      <c r="N20" s="18" t="n"/>
      <c r="O20" s="17" t="n"/>
    </row>
    <row r="21">
      <c r="A21" s="16" t="inlineStr">
        <is>
          <t>A-TC-008</t>
        </is>
      </c>
      <c r="B21" s="16" t="inlineStr">
        <is>
          <t>Trang chủ</t>
        </is>
      </c>
      <c r="C21" s="16" t="inlineStr">
        <is>
          <t>Quỹ tiền</t>
        </is>
      </c>
      <c r="D21" s="16" t="inlineStr">
        <is>
          <t>Trang chủ</t>
        </is>
      </c>
      <c r="E21" s="16" t="inlineStr">
        <is>
          <t>Tích hợp</t>
        </is>
      </c>
      <c r="F21" s="16" t="inlineStr">
        <is>
          <t>Thẻ Quỹ tiền</t>
        </is>
      </c>
      <c r="G21" s="16" t="inlineStr">
        <is>
          <t>App điện thoại (màn rộng dưới 768px), đơn vị Phố Mây gói Standard, hộ kinh doanh TT152</t>
        </is>
      </c>
      <c r="H21" s="16" t="inlineStr">
        <is>
          <t>1. Đọc tổng tồn quỹ
2. Bấm số tổng
3. Bấm một quỹ trên vòng tròn
4. Bấm Tất cả quỹ (n)</t>
        </is>
      </c>
      <c r="I21" s="16" t="inlineStr">
        <is>
          <t>Tổng khớp web. Mở chi tiết: Tồn đầu + Thu − Chi = Tồn cuối, số dư từng ngày, giao dịch gần nhất</t>
        </is>
      </c>
      <c r="J21" s="16" t="inlineStr">
        <is>
          <t>Cao</t>
        </is>
      </c>
      <c r="K21" s="17" t="n"/>
      <c r="L21" s="17" t="inlineStr">
        <is>
          <t>Chưa test</t>
        </is>
      </c>
      <c r="M21" s="17" t="n"/>
      <c r="N21" s="18" t="n"/>
      <c r="O21" s="17" t="n"/>
    </row>
    <row r="22">
      <c r="A22" s="16" t="inlineStr">
        <is>
          <t>A-TC-009</t>
        </is>
      </c>
      <c r="B22" s="16" t="inlineStr">
        <is>
          <t>Trang chủ</t>
        </is>
      </c>
      <c r="C22" s="16" t="inlineStr">
        <is>
          <t>Quỹ tiền</t>
        </is>
      </c>
      <c r="D22" s="16" t="inlineStr">
        <is>
          <t>Trang chủ</t>
        </is>
      </c>
      <c r="E22" s="16" t="inlineStr">
        <is>
          <t>Chức năng</t>
        </is>
      </c>
      <c r="F22" s="16" t="inlineStr">
        <is>
          <t>Xem sổ, dòng tiền, tạo quỹ</t>
        </is>
      </c>
      <c r="G22" s="16" t="inlineStr">
        <is>
          <t>App điện thoại (màn rộng dưới 768px), đơn vị Phố Mây gói Standard, hộ kinh doanh TT152</t>
        </is>
      </c>
      <c r="H22" s="16" t="inlineStr">
        <is>
          <t>1. Mở menu Xem sổ
2. Bấm Xem dòng tiền 13 tháng
3. Đơn vị chưa có quỹ: xem thẻ, bấm Tạo quỹ</t>
        </is>
      </c>
      <c r="I22" s="16" t="inlineStr">
        <is>
          <t>Menu có Sổ quỹ tiền mặt 2.2.1, Sổ ngân hàng 2.2.3. Có biểu đồ dòng tiền 13 tháng. Chưa có quỹ hiện 'Chưa có quỹ tiền nào', Tạo quỹ mở form thêm Quỹ tiền</t>
        </is>
      </c>
      <c r="J22" s="16" t="inlineStr">
        <is>
          <t>Trung bình</t>
        </is>
      </c>
      <c r="K22" s="17" t="n"/>
      <c r="L22" s="17" t="inlineStr">
        <is>
          <t>Chưa test</t>
        </is>
      </c>
      <c r="M22" s="17" t="n"/>
      <c r="N22" s="18" t="n"/>
      <c r="O22" s="17" t="n"/>
    </row>
    <row r="23">
      <c r="A23" s="16" t="inlineStr">
        <is>
          <t>A-TC-010</t>
        </is>
      </c>
      <c r="B23" s="16" t="inlineStr">
        <is>
          <t>Trang chủ</t>
        </is>
      </c>
      <c r="C23" s="16" t="inlineStr">
        <is>
          <t>Mua hàng &amp; công nợ NCC</t>
        </is>
      </c>
      <c r="D23" s="16" t="inlineStr">
        <is>
          <t>Trang chủ</t>
        </is>
      </c>
      <c r="E23" s="16" t="inlineStr">
        <is>
          <t>Tích hợp</t>
        </is>
      </c>
      <c r="F23" s="16" t="inlineStr">
        <is>
          <t>Khối mua hàng</t>
        </is>
      </c>
      <c r="G23" s="16" t="inlineStr">
        <is>
          <t>App điện thoại (màn rộng dưới 768px), đơn vị Phố Mây gói Standard, hộ kinh doanh TT152</t>
        </is>
      </c>
      <c r="H23" s="16" t="inlineStr">
        <is>
          <t>1. Đọc giá trị mua, top mặt hàng mua nhiều, top NCC nợ nhiều
2. Bấm link Bảng kê mua hàng, Công nợ NCC</t>
        </is>
      </c>
      <c r="I23" s="16" t="inlineStr">
        <is>
          <t>Số khớp web; link mở 4.2.7 và 4.2.3</t>
        </is>
      </c>
      <c r="J23" s="16" t="inlineStr">
        <is>
          <t>Cao</t>
        </is>
      </c>
      <c r="K23" s="17" t="n"/>
      <c r="L23" s="17" t="inlineStr">
        <is>
          <t>Chưa test</t>
        </is>
      </c>
      <c r="M23" s="17" t="n"/>
      <c r="N23" s="18" t="n"/>
      <c r="O23" s="17" t="n"/>
    </row>
    <row r="24">
      <c r="A24" s="16" t="inlineStr">
        <is>
          <t>A-TC-011</t>
        </is>
      </c>
      <c r="B24" s="16" t="inlineStr">
        <is>
          <t>Trang chủ</t>
        </is>
      </c>
      <c r="C24" s="16" t="inlineStr">
        <is>
          <t>Mua hàng &amp; công nợ NCC</t>
        </is>
      </c>
      <c r="D24" s="16" t="inlineStr">
        <is>
          <t>Trang chủ</t>
        </is>
      </c>
      <c r="E24" s="16" t="inlineStr">
        <is>
          <t>Chức năng</t>
        </is>
      </c>
      <c r="F24" s="16" t="inlineStr">
        <is>
          <t>Nút Mua hàng, Chi trả NCC</t>
        </is>
      </c>
      <c r="G24" s="16" t="inlineStr">
        <is>
          <t>App điện thoại (màn rộng dưới 768px), đơn vị Phố Mây gói Standard, hộ kinh doanh TT152</t>
        </is>
      </c>
      <c r="H24" s="16" t="inlineStr">
        <is>
          <t>1. Bấm Mua hàng
2. Bấm Chi trả NCC</t>
        </is>
      </c>
      <c r="I24" s="16" t="inlineStr">
        <is>
          <t>Mở form phiếu mua 4.1.1; mở form phiếu chi lý do CHI02 Thanh toán công nợ NCC</t>
        </is>
      </c>
      <c r="J24" s="16" t="inlineStr">
        <is>
          <t>Trung bình</t>
        </is>
      </c>
      <c r="K24" s="17" t="n"/>
      <c r="L24" s="17" t="inlineStr">
        <is>
          <t>Chưa test</t>
        </is>
      </c>
      <c r="M24" s="17" t="n"/>
      <c r="N24" s="18" t="n"/>
      <c r="O24" s="17" t="n"/>
    </row>
    <row r="25">
      <c r="A25" s="16" t="inlineStr">
        <is>
          <t>A-TC-012</t>
        </is>
      </c>
      <c r="B25" s="16" t="inlineStr">
        <is>
          <t>Trang chủ</t>
        </is>
      </c>
      <c r="C25" s="16" t="inlineStr">
        <is>
          <t>Hao hụt kiểm kê</t>
        </is>
      </c>
      <c r="D25" s="16" t="inlineStr">
        <is>
          <t>Trang chủ</t>
        </is>
      </c>
      <c r="E25" s="16" t="inlineStr">
        <is>
          <t>Tích hợp</t>
        </is>
      </c>
      <c r="F25" s="16" t="inlineStr">
        <is>
          <t>Khối hao hụt</t>
        </is>
      </c>
      <c r="G25" s="16" t="inlineStr">
        <is>
          <t>App điện thoại (màn rộng dưới 768px), đơn vị Phố Mây gói Standard, hộ kinh doanh TT152</t>
        </is>
      </c>
      <c r="H25" s="16" t="inlineStr">
        <is>
          <t>1. Đọc tiến độ kiểm kê theo cửa hàng, thiếu nhiều nhất, thừa nhiều nhất
2. Bấm link Báo cáo kiểm kê
3. Bấm Kiểm kê ngay</t>
        </is>
      </c>
      <c r="I25" s="16" t="inlineStr">
        <is>
          <t>Chỉ số lượng, khớp web; link mở 5.2.15; Kiểm kê ngay mở form phiếu kiểm kê</t>
        </is>
      </c>
      <c r="J25" s="16" t="inlineStr">
        <is>
          <t>Trung bình</t>
        </is>
      </c>
      <c r="K25" s="17" t="n"/>
      <c r="L25" s="17" t="inlineStr">
        <is>
          <t>Chưa test</t>
        </is>
      </c>
      <c r="M25" s="17" t="n"/>
      <c r="N25" s="18" t="n"/>
      <c r="O25" s="17" t="n"/>
    </row>
    <row r="26">
      <c r="A26" s="16" t="inlineStr">
        <is>
          <t>A-TC-013</t>
        </is>
      </c>
      <c r="B26" s="16" t="inlineStr">
        <is>
          <t>Trang chủ</t>
        </is>
      </c>
      <c r="C26" s="16" t="inlineStr">
        <is>
          <t>Chi phí hoạt động</t>
        </is>
      </c>
      <c r="D26" s="16" t="inlineStr">
        <is>
          <t>Trang chủ › KQKD</t>
        </is>
      </c>
      <c r="E26" s="16" t="inlineStr">
        <is>
          <t>Chức năng</t>
        </is>
      </c>
      <c r="F26" s="16" t="inlineStr">
        <is>
          <t>Danh sách chi phí theo lý do</t>
        </is>
      </c>
      <c r="G26" s="16" t="inlineStr">
        <is>
          <t>App điện thoại (màn rộng dưới 768px), đơn vị Phố Mây gói Standard, hộ kinh doanh TT152</t>
        </is>
      </c>
      <c r="H26" s="16" t="inlineStr">
        <is>
          <t>1. Mở màn
2. Bấm một dòng lý do
3. Bấm một phiếu</t>
        </is>
      </c>
      <c r="I26" s="16" t="inlineStr">
        <is>
          <t>Bấm dòng xổ các phiếu chi ngay bên dưới; bấm phiếu mở xem phiếu. Tổng khớp dòng Chi phí hoạt động</t>
        </is>
      </c>
      <c r="J26" s="16" t="inlineStr">
        <is>
          <t>Cao</t>
        </is>
      </c>
      <c r="K26" s="17" t="n"/>
      <c r="L26" s="17" t="inlineStr">
        <is>
          <t>Chưa test</t>
        </is>
      </c>
      <c r="M26" s="17" t="n"/>
      <c r="N26" s="18" t="n"/>
      <c r="O26" s="17" t="n"/>
    </row>
    <row r="27">
      <c r="A27" s="16" t="inlineStr">
        <is>
          <t>A-TC-014</t>
        </is>
      </c>
      <c r="B27" s="16" t="inlineStr">
        <is>
          <t>Trang chủ</t>
        </is>
      </c>
      <c r="C27" s="16" t="inlineStr">
        <is>
          <t>Chi phí hoạt động</t>
        </is>
      </c>
      <c r="D27" s="16" t="inlineStr">
        <is>
          <t>Trang chủ › KQKD</t>
        </is>
      </c>
      <c r="E27" s="16" t="inlineStr">
        <is>
          <t>Chức năng</t>
        </is>
      </c>
      <c r="F27" s="16" t="inlineStr">
        <is>
          <t>Lập phiếu chi</t>
        </is>
      </c>
      <c r="G27" s="16" t="inlineStr">
        <is>
          <t>App điện thoại (màn rộng dưới 768px), đơn vị Phố Mây gói Standard, hộ kinh doanh TT152</t>
        </is>
      </c>
      <c r="H27" s="16" t="inlineStr">
        <is>
          <t>1. Bấm Lập phiếu chi</t>
        </is>
      </c>
      <c r="I27" s="16" t="inlineStr">
        <is>
          <t>Hỏi Chi tiền mặt hay Chi ngân hàng rồi mở form tương ứng</t>
        </is>
      </c>
      <c r="J27" s="16" t="inlineStr">
        <is>
          <t>Trung bình</t>
        </is>
      </c>
      <c r="K27" s="17" t="n"/>
      <c r="L27" s="17" t="inlineStr">
        <is>
          <t>Chưa test</t>
        </is>
      </c>
      <c r="M27" s="17" t="n"/>
      <c r="N27" s="18" t="n"/>
      <c r="O27" s="17" t="n"/>
    </row>
    <row r="28">
      <c r="A28" s="16" t="inlineStr">
        <is>
          <t>A-TC-015</t>
        </is>
      </c>
      <c r="B28" s="16" t="inlineStr">
        <is>
          <t>Trang chủ</t>
        </is>
      </c>
      <c r="C28" s="16" t="inlineStr">
        <is>
          <t>Chi phí NVL</t>
        </is>
      </c>
      <c r="D28" s="16" t="inlineStr">
        <is>
          <t>Trang chủ › KQKD</t>
        </is>
      </c>
      <c r="E28" s="16" t="inlineStr">
        <is>
          <t>Hiển thị</t>
        </is>
      </c>
      <c r="F28" s="16" t="inlineStr">
        <is>
          <t>Xem tất cả cửa hàng</t>
        </is>
      </c>
      <c r="G28" s="16" t="inlineStr">
        <is>
          <t>App điện thoại (màn rộng dưới 768px), đơn vị Phố Mây gói Standard, hộ kinh doanh TT152</t>
        </is>
      </c>
      <c r="H28" s="16" t="inlineStr">
        <is>
          <t>1. Chọn Tất cả cửa hàng
2. Mở Chi phí NVL
3. Bấm một cửa hàng</t>
        </is>
      </c>
      <c r="I28" s="16" t="inlineStr">
        <is>
          <t>Danh sách theo cửa hàng; bấm cửa hàng thì đổi cửa hàng làm việc sang cửa hàng đó</t>
        </is>
      </c>
      <c r="J28" s="16" t="inlineStr">
        <is>
          <t>Trung bình</t>
        </is>
      </c>
      <c r="K28" s="17" t="n"/>
      <c r="L28" s="17" t="inlineStr">
        <is>
          <t>Chưa test</t>
        </is>
      </c>
      <c r="M28" s="17" t="n"/>
      <c r="N28" s="18" t="n"/>
      <c r="O28" s="17" t="n"/>
    </row>
    <row r="29">
      <c r="A29" s="16" t="inlineStr">
        <is>
          <t>A-TC-016</t>
        </is>
      </c>
      <c r="B29" s="16" t="inlineStr">
        <is>
          <t>Trang chủ</t>
        </is>
      </c>
      <c r="C29" s="16" t="inlineStr">
        <is>
          <t>Chi phí NVL</t>
        </is>
      </c>
      <c r="D29" s="16" t="inlineStr">
        <is>
          <t>Trang chủ › KQKD</t>
        </is>
      </c>
      <c r="E29" s="16" t="inlineStr">
        <is>
          <t>Chức năng</t>
        </is>
      </c>
      <c r="F29" s="16" t="inlineStr">
        <is>
          <t>Đổi cách tính</t>
        </is>
      </c>
      <c r="G29" s="16" t="inlineStr">
        <is>
          <t>App điện thoại (màn rộng dưới 768px), đơn vị Phố Mây gói Standard, hộ kinh doanh TT152</t>
        </is>
      </c>
      <c r="H29" s="16" t="inlineStr">
        <is>
          <t>1. Xem một cửa hàng
2. Bấm Đổi cách tính, lần lượt chọn Phiếu nhập mua, iPOS Inventory, Nhập tay</t>
        </is>
      </c>
      <c r="I29" s="16" t="inlineStr">
        <is>
          <t>Phiếu nhập mua có link 4.1.1; iPOS Inventory hiện giá thành món và NVL tiêu hao; Nhập tay hiện ô giá từng món, món chưa có giá tô vàng</t>
        </is>
      </c>
      <c r="J29" s="16" t="inlineStr">
        <is>
          <t>Cao</t>
        </is>
      </c>
      <c r="K29" s="17" t="n"/>
      <c r="L29" s="17" t="inlineStr">
        <is>
          <t>Chưa test</t>
        </is>
      </c>
      <c r="M29" s="17" t="n"/>
      <c r="N29" s="18" t="n"/>
      <c r="O29" s="17" t="n"/>
    </row>
    <row r="30">
      <c r="A30" s="16" t="inlineStr">
        <is>
          <t>A-TC-017</t>
        </is>
      </c>
      <c r="B30" s="16" t="inlineStr">
        <is>
          <t>Trang chủ</t>
        </is>
      </c>
      <c r="C30" s="16" t="inlineStr">
        <is>
          <t>Chi phí NVL</t>
        </is>
      </c>
      <c r="D30" s="16" t="inlineStr">
        <is>
          <t>Trang chủ › KQKD</t>
        </is>
      </c>
      <c r="E30" s="16" t="inlineStr">
        <is>
          <t>Ràng buộc</t>
        </is>
      </c>
      <c r="F30" s="16" t="inlineStr">
        <is>
          <t>Tháng đã khoá sổ</t>
        </is>
      </c>
      <c r="G30" s="16" t="inlineStr">
        <is>
          <t>App điện thoại (màn rộng dưới 768px), đơn vị Phố Mây gói Standard, hộ kinh doanh TT152</t>
        </is>
      </c>
      <c r="H30" s="16" t="inlineStr">
        <is>
          <t>1. Chọn tháng đã khoá
2. Thử đổi cách tính, sửa giá</t>
        </is>
      </c>
      <c r="I30" s="16" t="inlineStr">
        <is>
          <t>Không sửa được. Đổi cách tính chỉ tính lại từ tháng chưa khoá đầu tiên</t>
        </is>
      </c>
      <c r="J30" s="16" t="inlineStr">
        <is>
          <t>Cao</t>
        </is>
      </c>
      <c r="K30" s="17" t="n"/>
      <c r="L30" s="17" t="inlineStr">
        <is>
          <t>Chưa test</t>
        </is>
      </c>
      <c r="M30" s="17" t="n"/>
      <c r="N30" s="18" t="n"/>
      <c r="O30" s="17" t="n"/>
    </row>
    <row r="31">
      <c r="A31" s="16" t="inlineStr">
        <is>
          <t>A-TC-018</t>
        </is>
      </c>
      <c r="B31" s="16" t="inlineStr">
        <is>
          <t>Trang chủ</t>
        </is>
      </c>
      <c r="C31" s="16" t="inlineStr">
        <is>
          <t>Lịch sử thu chi</t>
        </is>
      </c>
      <c r="D31" s="16" t="inlineStr">
        <is>
          <t>Trang chủ › Quỹ tiền</t>
        </is>
      </c>
      <c r="E31" s="16" t="inlineStr">
        <is>
          <t>Chức năng</t>
        </is>
      </c>
      <c r="F31" s="16" t="inlineStr">
        <is>
          <t>Lịch sử một quỹ</t>
        </is>
      </c>
      <c r="G31" s="16" t="inlineStr">
        <is>
          <t>App điện thoại (màn rộng dưới 768px), đơn vị Phố Mây gói Standard, hộ kinh doanh TT152</t>
        </is>
      </c>
      <c r="H31" s="16" t="inlineStr">
        <is>
          <t>1. Mở từ chi tiết quỹ
2. Lọc Tất cả / Thu / Chi
3. Bấm một giao dịch</t>
        </is>
      </c>
      <c r="I31" s="16" t="inlineStr">
        <is>
          <t>4 ô tóm tắt Tồn đầu, Thu, Chi, Tồn cuối; giao dịch gom theo ngày, mới nhất trên cùng; bấm mở phiếu</t>
        </is>
      </c>
      <c r="J31" s="16" t="inlineStr">
        <is>
          <t>Cao</t>
        </is>
      </c>
      <c r="K31" s="17" t="n"/>
      <c r="L31" s="17" t="inlineStr">
        <is>
          <t>Chưa test</t>
        </is>
      </c>
      <c r="M31" s="17" t="n"/>
      <c r="N31" s="18" t="n"/>
      <c r="O31" s="17" t="n"/>
    </row>
    <row r="32">
      <c r="A32" s="16" t="inlineStr">
        <is>
          <t>A-TC-019</t>
        </is>
      </c>
      <c r="B32" s="16" t="inlineStr">
        <is>
          <t>Trang chủ</t>
        </is>
      </c>
      <c r="C32" s="16" t="inlineStr">
        <is>
          <t>Lịch sử thu chi</t>
        </is>
      </c>
      <c r="D32" s="16" t="inlineStr">
        <is>
          <t>Trang chủ › Quỹ tiền</t>
        </is>
      </c>
      <c r="E32" s="16" t="inlineStr">
        <is>
          <t>Chức năng</t>
        </is>
      </c>
      <c r="F32" s="16" t="inlineStr">
        <is>
          <t>Nút Thu tiền, Chi tiền ghim đáy</t>
        </is>
      </c>
      <c r="G32" s="16" t="inlineStr">
        <is>
          <t>App điện thoại (màn rộng dưới 768px), đơn vị Phố Mây gói Standard, hộ kinh doanh TT152</t>
        </is>
      </c>
      <c r="H32" s="16" t="inlineStr">
        <is>
          <t>1. Ở quỹ tiền mặt bấm Thu tiền, Chi tiền
2. Ở tài khoản ngân hàng bấm Thu tiền, Chi tiền</t>
        </is>
      </c>
      <c r="I32" s="16" t="inlineStr">
        <is>
          <t>Quỹ tiền mặt mở phiếu thu/chi; ngân hàng mở báo có/UNC; quỹ điền sẵn</t>
        </is>
      </c>
      <c r="J32" s="16" t="inlineStr">
        <is>
          <t>Trung bình</t>
        </is>
      </c>
      <c r="K32" s="17" t="n"/>
      <c r="L32" s="17" t="inlineStr">
        <is>
          <t>Chưa test</t>
        </is>
      </c>
      <c r="M32" s="17" t="n"/>
      <c r="N32" s="18" t="n"/>
      <c r="O32" s="17" t="n"/>
    </row>
    <row r="33">
      <c r="A33" s="16" t="inlineStr">
        <is>
          <t>A-TK-001</t>
        </is>
      </c>
      <c r="B33" s="16" t="inlineStr">
        <is>
          <t>Tìm kiếm</t>
        </is>
      </c>
      <c r="C33" s="16" t="inlineStr">
        <is>
          <t>Tìm kiếm</t>
        </is>
      </c>
      <c r="D33" s="16" t="inlineStr">
        <is>
          <t>Trang chủ › nút tìm</t>
        </is>
      </c>
      <c r="E33" s="16" t="inlineStr">
        <is>
          <t>Chức năng</t>
        </is>
      </c>
      <c r="F33" s="16" t="inlineStr">
        <is>
          <t>Tìm màn, danh mục, báo cáo</t>
        </is>
      </c>
      <c r="G33" s="16" t="inlineStr">
        <is>
          <t>App điện thoại (màn rộng dưới 768px), đơn vị Phố Mây gói Standard, hộ kinh doanh TT152</t>
        </is>
      </c>
      <c r="H33" s="16" t="inlineStr">
        <is>
          <t>1. Bấm nút tìm ở Trang chủ
2. Gõ 'so quy'
3. Gõ 'kiem ke'
4. Bấm một kết quả</t>
        </is>
      </c>
      <c r="I33" s="16" t="inlineStr">
        <is>
          <t>Tìm không dấu được; ra đúng màn, tab loại phiếu, danh mục, báo cáo; bấm mở đúng màn</t>
        </is>
      </c>
      <c r="J33" s="16" t="inlineStr">
        <is>
          <t>Trung bình</t>
        </is>
      </c>
      <c r="K33" s="17" t="n"/>
      <c r="L33" s="17" t="inlineStr">
        <is>
          <t>Chưa test</t>
        </is>
      </c>
      <c r="M33" s="17" t="n"/>
      <c r="N33" s="18" t="n"/>
      <c r="O33" s="17" t="n"/>
    </row>
    <row r="34">
      <c r="A34" s="16" t="inlineStr">
        <is>
          <t>A-TK-002</t>
        </is>
      </c>
      <c r="B34" s="16" t="inlineStr">
        <is>
          <t>Tìm kiếm</t>
        </is>
      </c>
      <c r="C34" s="16" t="inlineStr">
        <is>
          <t>Tìm kiếm</t>
        </is>
      </c>
      <c r="D34" s="16" t="inlineStr">
        <is>
          <t>Trang chủ › nút tìm</t>
        </is>
      </c>
      <c r="E34" s="16" t="inlineStr">
        <is>
          <t>Ràng buộc</t>
        </is>
      </c>
      <c r="F34" s="16" t="inlineStr">
        <is>
          <t>Không ra màn ngoài gói</t>
        </is>
      </c>
      <c r="G34" s="16" t="inlineStr">
        <is>
          <t>App điện thoại (màn rộng dưới 768px), đơn vị Phố Mây gói Standard, hộ kinh doanh TT152</t>
        </is>
      </c>
      <c r="H34" s="16" t="inlineStr">
        <is>
          <t>1. Gõ 'tai san', 'nguoi dung', 'tai khoan', 'dieu chuyen'</t>
        </is>
      </c>
      <c r="I34" s="16" t="inlineStr">
        <is>
          <t>Không có kết quả màn ngoài gói</t>
        </is>
      </c>
      <c r="J34" s="16" t="inlineStr">
        <is>
          <t>Trung bình</t>
        </is>
      </c>
      <c r="K34" s="17" t="n"/>
      <c r="L34" s="17" t="inlineStr">
        <is>
          <t>Chưa test</t>
        </is>
      </c>
      <c r="M34" s="17" t="n"/>
      <c r="N34" s="18" t="n"/>
      <c r="O34" s="17" t="n"/>
    </row>
    <row r="35">
      <c r="A35" s="16" t="inlineStr">
        <is>
          <t>A-TT-001</t>
        </is>
      </c>
      <c r="B35" s="16" t="inlineStr">
        <is>
          <t>Thu chi</t>
        </is>
      </c>
      <c r="C35" s="16" t="inlineStr">
        <is>
          <t>Tab Nghiệp vụ</t>
        </is>
      </c>
      <c r="D35" s="16" t="inlineStr">
        <is>
          <t>Tab Nghiệp vụ</t>
        </is>
      </c>
      <c r="E35" s="16" t="inlineStr">
        <is>
          <t>Hiển thị</t>
        </is>
      </c>
      <c r="F35" s="16" t="inlineStr">
        <is>
          <t>Danh sách nghiệp vụ gói Standard</t>
        </is>
      </c>
      <c r="G35" s="16" t="inlineStr">
        <is>
          <t>App điện thoại (màn rộng dưới 768px), đơn vị Phố Mây gói Standard, hộ kinh doanh TT152</t>
        </is>
      </c>
      <c r="H35" s="16" t="inlineStr">
        <is>
          <t>1. Mở tab Nghiệp vụ</t>
        </is>
      </c>
      <c r="I35" s="16" t="inlineStr">
        <is>
          <t>Chip STANDARD, dòng 'n nghiệp vụ · m nhóm'. Nhóm: Thu chi, Kế toán bán hàng (Xuất bán POS), Kế toán mua hàng, Kiểm kê, Chi phí phân bổ, Kê khai thuế</t>
        </is>
      </c>
      <c r="J35" s="16" t="inlineStr">
        <is>
          <t>Cao</t>
        </is>
      </c>
      <c r="K35" s="17" t="n"/>
      <c r="L35" s="17" t="inlineStr">
        <is>
          <t>Chưa test</t>
        </is>
      </c>
      <c r="M35" s="17" t="n"/>
      <c r="N35" s="18" t="n"/>
      <c r="O35" s="17" t="n"/>
    </row>
    <row r="36">
      <c r="A36" s="16" t="inlineStr">
        <is>
          <t>A-TT-002</t>
        </is>
      </c>
      <c r="B36" s="16" t="inlineStr">
        <is>
          <t>Thu chi</t>
        </is>
      </c>
      <c r="C36" s="16" t="inlineStr">
        <is>
          <t>Tab Nghiệp vụ</t>
        </is>
      </c>
      <c r="D36" s="16" t="inlineStr">
        <is>
          <t>Tab Nghiệp vụ</t>
        </is>
      </c>
      <c r="E36" s="16" t="inlineStr">
        <is>
          <t>Chức năng</t>
        </is>
      </c>
      <c r="F36" s="16" t="inlineStr">
        <is>
          <t>Tìm nghiệp vụ</t>
        </is>
      </c>
      <c r="G36" s="16" t="inlineStr">
        <is>
          <t>App điện thoại (màn rộng dưới 768px), đơn vị Phố Mây gói Standard, hộ kinh doanh TT152</t>
        </is>
      </c>
      <c r="H36" s="16" t="inlineStr">
        <is>
          <t>1. Gõ 'mua'
2. Gõ 'xyz'</t>
        </is>
      </c>
      <c r="I36" s="16" t="inlineStr">
        <is>
          <t>Bước 1 lọc ra Mua hàng. Bước 2 báo 'Không tìm thấy nghiệp vụ phù hợp'</t>
        </is>
      </c>
      <c r="J36" s="16" t="inlineStr">
        <is>
          <t>Trung bình</t>
        </is>
      </c>
      <c r="K36" s="17" t="n"/>
      <c r="L36" s="17" t="inlineStr">
        <is>
          <t>Chưa test</t>
        </is>
      </c>
      <c r="M36" s="17" t="n"/>
      <c r="N36" s="18" t="n"/>
      <c r="O36" s="17" t="n"/>
    </row>
    <row r="37">
      <c r="A37" s="16" t="inlineStr">
        <is>
          <t>A-TT-003</t>
        </is>
      </c>
      <c r="B37" s="16" t="inlineStr">
        <is>
          <t>Thu chi</t>
        </is>
      </c>
      <c r="C37" s="16" t="inlineStr">
        <is>
          <t>Danh sách thu chi</t>
        </is>
      </c>
      <c r="D37" s="16" t="inlineStr">
        <is>
          <t>Nghiệp vụ › Thu chi</t>
        </is>
      </c>
      <c r="E37" s="16" t="inlineStr">
        <is>
          <t>Hiển thị</t>
        </is>
      </c>
      <c r="F37" s="16" t="inlineStr">
        <is>
          <t>Tab và thẻ tổng</t>
        </is>
      </c>
      <c r="G37" s="16" t="inlineStr">
        <is>
          <t>App điện thoại (màn rộng dưới 768px), đơn vị Phố Mây gói Standard, hộ kinh doanh TT152</t>
        </is>
      </c>
      <c r="H37" s="16" t="inlineStr">
        <is>
          <t>1. Mở Thu chi
2. Xem tab, thẻ tổng kỳ</t>
        </is>
      </c>
      <c r="I37" s="16" t="inlineStr">
        <is>
          <t>Tab Tất cả, Tiền mặt, Ngân hàng, Chuyển quỹ, Báo cáo theo dõi; thẻ tổng thu, chi trong kỳ; danh sách gom theo ngày</t>
        </is>
      </c>
      <c r="J37" s="16" t="inlineStr">
        <is>
          <t>Cao</t>
        </is>
      </c>
      <c r="K37" s="17" t="n"/>
      <c r="L37" s="17" t="inlineStr">
        <is>
          <t>Chưa test</t>
        </is>
      </c>
      <c r="M37" s="17" t="n"/>
      <c r="N37" s="18" t="n"/>
      <c r="O37" s="17" t="n"/>
    </row>
    <row r="38">
      <c r="A38" s="16" t="inlineStr">
        <is>
          <t>A-TT-004</t>
        </is>
      </c>
      <c r="B38" s="16" t="inlineStr">
        <is>
          <t>Thu chi</t>
        </is>
      </c>
      <c r="C38" s="16" t="inlineStr">
        <is>
          <t>Danh sách thu chi</t>
        </is>
      </c>
      <c r="D38" s="16" t="inlineStr">
        <is>
          <t>Nghiệp vụ › Thu chi</t>
        </is>
      </c>
      <c r="E38" s="16" t="inlineStr">
        <is>
          <t>Chức năng</t>
        </is>
      </c>
      <c r="F38" s="16" t="inlineStr">
        <is>
          <t>Tìm, lọc, sắp xếp</t>
        </is>
      </c>
      <c r="G38" s="16" t="inlineStr">
        <is>
          <t>App điện thoại (màn rộng dưới 768px), đơn vị Phố Mây gói Standard, hộ kinh doanh TT152</t>
        </is>
      </c>
      <c r="H38" s="16" t="inlineStr">
        <is>
          <t>1. Tìm theo số phiếu, đối tượng
2. Mở bộ lọc: thời gian, cửa hàng, trạng thái, loại phiếu, đối tượng, nguồn, lý do
3. Đổi sắp xếp</t>
        </is>
      </c>
      <c r="I38" s="16" t="inlineStr">
        <is>
          <t>Danh sách lọc, sắp xếp đúng; thẻ tổng tính lại theo bộ lọc</t>
        </is>
      </c>
      <c r="J38" s="16" t="inlineStr">
        <is>
          <t>Cao</t>
        </is>
      </c>
      <c r="K38" s="17" t="n"/>
      <c r="L38" s="17" t="inlineStr">
        <is>
          <t>Chưa test</t>
        </is>
      </c>
      <c r="M38" s="17" t="n"/>
      <c r="N38" s="18" t="n"/>
      <c r="O38" s="17" t="n"/>
    </row>
    <row r="39">
      <c r="A39" s="16" t="inlineStr">
        <is>
          <t>A-TT-005</t>
        </is>
      </c>
      <c r="B39" s="16" t="inlineStr">
        <is>
          <t>Thu chi</t>
        </is>
      </c>
      <c r="C39" s="16" t="inlineStr">
        <is>
          <t>Danh sách thu chi</t>
        </is>
      </c>
      <c r="D39" s="16" t="inlineStr">
        <is>
          <t>Nghiệp vụ › Thu chi</t>
        </is>
      </c>
      <c r="E39" s="16" t="inlineStr">
        <is>
          <t>Chức năng</t>
        </is>
      </c>
      <c r="F39" s="16" t="inlineStr">
        <is>
          <t>Nút + theo tab</t>
        </is>
      </c>
      <c r="G39" s="16" t="inlineStr">
        <is>
          <t>App điện thoại (màn rộng dưới 768px), đơn vị Phố Mây gói Standard, hộ kinh doanh TT152</t>
        </is>
      </c>
      <c r="H39" s="16" t="inlineStr">
        <is>
          <t>1. Ở tab Tất cả bấm +
2. Ở tab Tiền mặt bấm +
3. Ở tab Chuyển quỹ bấm +</t>
        </is>
      </c>
      <c r="I39" s="16" t="inlineStr">
        <is>
          <t>Tab Tất cả hỏi loại phiếu (Thu, Chi, Báo có, UNC, Chuyển quỹ); tab Tiền mặt chỉ hỏi Thu/Chi tiền mặt; tab Chuyển quỹ mở thẳng form</t>
        </is>
      </c>
      <c r="J39" s="16" t="inlineStr">
        <is>
          <t>Trung bình</t>
        </is>
      </c>
      <c r="K39" s="17" t="n"/>
      <c r="L39" s="17" t="inlineStr">
        <is>
          <t>Chưa test</t>
        </is>
      </c>
      <c r="M39" s="17" t="n"/>
      <c r="N39" s="18" t="n"/>
      <c r="O39" s="17" t="n"/>
    </row>
    <row r="40">
      <c r="A40" s="16" t="inlineStr">
        <is>
          <t>A-TT-006</t>
        </is>
      </c>
      <c r="B40" s="16" t="inlineStr">
        <is>
          <t>Thu chi</t>
        </is>
      </c>
      <c r="C40" s="16" t="inlineStr">
        <is>
          <t>Danh sách thu chi</t>
        </is>
      </c>
      <c r="D40" s="16" t="inlineStr">
        <is>
          <t>Nghiệp vụ › Thu chi</t>
        </is>
      </c>
      <c r="E40" s="16" t="inlineStr">
        <is>
          <t>Hiển thị</t>
        </is>
      </c>
      <c r="F40" s="16" t="inlineStr">
        <is>
          <t>Phiếu tự sinh có trong danh sách</t>
        </is>
      </c>
      <c r="G40" s="16" t="inlineStr">
        <is>
          <t>App điện thoại (màn rộng dưới 768px), đơn vị Phố Mây gói Standard, hộ kinh doanh TT152</t>
        </is>
      </c>
      <c r="H40" s="16" t="inlineStr">
        <is>
          <t>1. Lọc tháng 10</t>
        </is>
      </c>
      <c r="I40" s="16" t="inlineStr">
        <is>
          <t>Có phiếu đồng bộ FABi (nhãn nguồn FABi), phiếu lương, thuê nhà, phiếu thanh toán sinh từ phiếu mua</t>
        </is>
      </c>
      <c r="J40" s="16" t="inlineStr">
        <is>
          <t>Trung bình</t>
        </is>
      </c>
      <c r="K40" s="17" t="n"/>
      <c r="L40" s="17" t="inlineStr">
        <is>
          <t>Chưa test</t>
        </is>
      </c>
      <c r="M40" s="17" t="n"/>
      <c r="N40" s="18" t="n"/>
      <c r="O40" s="17" t="n"/>
    </row>
    <row r="41">
      <c r="A41" s="16" t="inlineStr">
        <is>
          <t>A-TT-007</t>
        </is>
      </c>
      <c r="B41" s="16" t="inlineStr">
        <is>
          <t>Thu chi</t>
        </is>
      </c>
      <c r="C41" s="16" t="inlineStr">
        <is>
          <t>Lập phiếu thu chi</t>
        </is>
      </c>
      <c r="D41" s="16" t="inlineStr">
        <is>
          <t>Thu chi › +</t>
        </is>
      </c>
      <c r="E41" s="16" t="inlineStr">
        <is>
          <t>Chức năng</t>
        </is>
      </c>
      <c r="F41" s="16" t="inlineStr">
        <is>
          <t>Lập phiếu thu tiền mặt</t>
        </is>
      </c>
      <c r="G41" s="16" t="inlineStr">
        <is>
          <t>App điện thoại (màn rộng dưới 768px), đơn vị Phố Mây gói Standard, hộ kinh doanh TT152</t>
        </is>
      </c>
      <c r="H41" s="16" t="inlineStr">
        <is>
          <t>1. Chọn cửa hàng A, bấm + › Thu tiền mặt
2. Chọn quỹ, lý do, ngày, đối tượng, nhập số tiền
3. Lưu</t>
        </is>
      </c>
      <c r="I41" s="16" t="inlineStr">
        <is>
          <t>Lưu xong ra màn 'Lưu phiếu thành công' (Xem chi tiết, Lập mới, Về danh sách, Home). Phiếu đã vào sổ ngay, không có bước Ghi sổ</t>
        </is>
      </c>
      <c r="J41" s="16" t="inlineStr">
        <is>
          <t>Cao</t>
        </is>
      </c>
      <c r="K41" s="17" t="n"/>
      <c r="L41" s="17" t="inlineStr">
        <is>
          <t>Chưa test</t>
        </is>
      </c>
      <c r="M41" s="17" t="n"/>
      <c r="N41" s="18" t="n"/>
      <c r="O41" s="17" t="n"/>
    </row>
    <row r="42">
      <c r="A42" s="16" t="inlineStr">
        <is>
          <t>A-TT-008</t>
        </is>
      </c>
      <c r="B42" s="16" t="inlineStr">
        <is>
          <t>Thu chi</t>
        </is>
      </c>
      <c r="C42" s="16" t="inlineStr">
        <is>
          <t>Lập phiếu thu chi</t>
        </is>
      </c>
      <c r="D42" s="16" t="inlineStr">
        <is>
          <t>Thu chi › +</t>
        </is>
      </c>
      <c r="E42" s="16" t="inlineStr">
        <is>
          <t>Ràng buộc</t>
        </is>
      </c>
      <c r="F42" s="16" t="inlineStr">
        <is>
          <t>Kiểm tra khi lưu</t>
        </is>
      </c>
      <c r="G42" s="16" t="inlineStr">
        <is>
          <t>App điện thoại (màn rộng dưới 768px), đơn vị Phố Mây gói Standard, hộ kinh doanh TT152</t>
        </is>
      </c>
      <c r="H42" s="16" t="inlineStr">
        <is>
          <t>1. Bỏ trống quỹ, lưu
2. Số tiền 0, lưu
3. Xoá dòng chi tiết cuối cùng
4. Ngày trước ngày đầu năm tài chính</t>
        </is>
      </c>
      <c r="I42" s="16" t="inlineStr">
        <is>
          <t>Báo 'Vui lòng chọn quỹ tiền'; 'Vui lòng nhập số tiền lớn hơn 0'; 'Phiếu phải có ít nhất 1 dòng chi tiết'; báo ngày không hợp lệ. Không lưu</t>
        </is>
      </c>
      <c r="J42" s="16" t="inlineStr">
        <is>
          <t>Cao</t>
        </is>
      </c>
      <c r="K42" s="17" t="n"/>
      <c r="L42" s="17" t="inlineStr">
        <is>
          <t>Chưa test</t>
        </is>
      </c>
      <c r="M42" s="17" t="n"/>
      <c r="N42" s="18" t="n"/>
      <c r="O42" s="17" t="n"/>
    </row>
    <row r="43">
      <c r="A43" s="16" t="inlineStr">
        <is>
          <t>A-TT-009</t>
        </is>
      </c>
      <c r="B43" s="16" t="inlineStr">
        <is>
          <t>Thu chi</t>
        </is>
      </c>
      <c r="C43" s="16" t="inlineStr">
        <is>
          <t>Lập phiếu thu chi</t>
        </is>
      </c>
      <c r="D43" s="16" t="inlineStr">
        <is>
          <t>Thu chi › +</t>
        </is>
      </c>
      <c r="E43" s="16" t="inlineStr">
        <is>
          <t>Ràng buộc</t>
        </is>
      </c>
      <c r="F43" s="16" t="inlineStr">
        <is>
          <t>Quỹ theo cửa hàng và loại phiếu</t>
        </is>
      </c>
      <c r="G43" s="16" t="inlineStr">
        <is>
          <t>App điện thoại (màn rộng dưới 768px), đơn vị Phố Mây gói Standard, hộ kinh doanh TT152</t>
        </is>
      </c>
      <c r="H43" s="16" t="inlineStr">
        <is>
          <t>1. Phiếu tiền mặt cửa hàng A: mở chọn quỹ
2. Phiếu ngân hàng: mở chọn quỹ</t>
        </is>
      </c>
      <c r="I43" s="16" t="inlineStr">
        <is>
          <t>Tiền mặt chỉ có quỹ tiền mặt của A; ngân hàng chỉ có tài khoản ngân hàng</t>
        </is>
      </c>
      <c r="J43" s="16" t="inlineStr">
        <is>
          <t>Cao</t>
        </is>
      </c>
      <c r="K43" s="17" t="n"/>
      <c r="L43" s="17" t="inlineStr">
        <is>
          <t>Chưa test</t>
        </is>
      </c>
      <c r="M43" s="17" t="n"/>
      <c r="N43" s="18" t="n"/>
      <c r="O43" s="17" t="n"/>
    </row>
    <row r="44">
      <c r="A44" s="16" t="inlineStr">
        <is>
          <t>A-TT-010</t>
        </is>
      </c>
      <c r="B44" s="16" t="inlineStr">
        <is>
          <t>Thu chi</t>
        </is>
      </c>
      <c r="C44" s="16" t="inlineStr">
        <is>
          <t>Lập phiếu thu chi</t>
        </is>
      </c>
      <c r="D44" s="16" t="inlineStr">
        <is>
          <t>Thu chi › +</t>
        </is>
      </c>
      <c r="E44" s="16" t="inlineStr">
        <is>
          <t>Ràng buộc</t>
        </is>
      </c>
      <c r="F44" s="16" t="inlineStr">
        <is>
          <t>Đối tượng bắt buộc theo lý do</t>
        </is>
      </c>
      <c r="G44" s="16" t="inlineStr">
        <is>
          <t>App điện thoại (màn rộng dưới 768px), đơn vị Phố Mây gói Standard, hộ kinh doanh TT152</t>
        </is>
      </c>
      <c r="H44" s="16" t="inlineStr">
        <is>
          <t>1. Chọn lý do thu nợ / đi vay / chi công nợ / cho vay
2. Bỏ trống đối tượng, lưu</t>
        </is>
      </c>
      <c r="I44" s="16" t="inlineStr">
        <is>
          <t>Báo thiếu đối tượng, không lưu</t>
        </is>
      </c>
      <c r="J44" s="16" t="inlineStr">
        <is>
          <t>Trung bình</t>
        </is>
      </c>
      <c r="K44" s="17" t="n"/>
      <c r="L44" s="17" t="inlineStr">
        <is>
          <t>Chưa test</t>
        </is>
      </c>
      <c r="M44" s="17" t="n"/>
      <c r="N44" s="18" t="n"/>
      <c r="O44" s="17" t="n"/>
    </row>
    <row r="45">
      <c r="A45" s="16" t="inlineStr">
        <is>
          <t>A-TT-011</t>
        </is>
      </c>
      <c r="B45" s="16" t="inlineStr">
        <is>
          <t>Thu chi</t>
        </is>
      </c>
      <c r="C45" s="16" t="inlineStr">
        <is>
          <t>Lập phiếu thu chi</t>
        </is>
      </c>
      <c r="D45" s="16" t="inlineStr">
        <is>
          <t>Thu chi › +</t>
        </is>
      </c>
      <c r="E45" s="16" t="inlineStr">
        <is>
          <t>Chức năng</t>
        </is>
      </c>
      <c r="F45" s="16" t="inlineStr">
        <is>
          <t>Thêm nhanh đối tượng, lý do</t>
        </is>
      </c>
      <c r="G45" s="16" t="inlineStr">
        <is>
          <t>App điện thoại (màn rộng dưới 768px), đơn vị Phố Mây gói Standard, hộ kinh doanh TT152</t>
        </is>
      </c>
      <c r="H45" s="16" t="inlineStr">
        <is>
          <t>1. Ở ô Đối tượng bấm thêm mới, bỏ trống tên, lưu
2. Nhập tên, lưu
3. Ở ô Lý do thêm mới, bỏ trống tên</t>
        </is>
      </c>
      <c r="I45" s="16" t="inlineStr">
        <is>
          <t>Báo 'Vui lòng nhập tên đối tượng' / 'Vui lòng nhập tên lý do'. Nhập đủ thì thêm và chọn sẵn vào phiếu</t>
        </is>
      </c>
      <c r="J45" s="16" t="inlineStr">
        <is>
          <t>Trung bình</t>
        </is>
      </c>
      <c r="K45" s="17" t="n"/>
      <c r="L45" s="17" t="inlineStr">
        <is>
          <t>Chưa test</t>
        </is>
      </c>
      <c r="M45" s="17" t="n"/>
      <c r="N45" s="18" t="n"/>
      <c r="O45" s="17" t="n"/>
    </row>
    <row r="46">
      <c r="A46" s="16" t="inlineStr">
        <is>
          <t>A-TT-012</t>
        </is>
      </c>
      <c r="B46" s="16" t="inlineStr">
        <is>
          <t>Thu chi</t>
        </is>
      </c>
      <c r="C46" s="16" t="inlineStr">
        <is>
          <t>Lập phiếu thu chi</t>
        </is>
      </c>
      <c r="D46" s="16" t="inlineStr">
        <is>
          <t>Thu chi › +</t>
        </is>
      </c>
      <c r="E46" s="16" t="inlineStr">
        <is>
          <t>Chức năng</t>
        </is>
      </c>
      <c r="F46" s="16" t="inlineStr">
        <is>
          <t>Tháng ghi nhận chi phí</t>
        </is>
      </c>
      <c r="G46" s="16" t="inlineStr">
        <is>
          <t>App điện thoại (màn rộng dưới 768px), đơn vị Phố Mây gói Standard, hộ kinh doanh TT152</t>
        </is>
      </c>
      <c r="H46" s="16" t="inlineStr">
        <is>
          <t>1. Lập phiếu chi, chọn lý do là chi phí
2. Mở ô Tháng ghi nhận</t>
        </is>
      </c>
      <c r="I46" s="16" t="inlineStr">
        <is>
          <t>Ô chỉ hiện với lý do chi phí; mặc định tháng của ngày phiếu; chỉ chọn tháng trước chưa khoá sổ</t>
        </is>
      </c>
      <c r="J46" s="16" t="inlineStr">
        <is>
          <t>Trung bình</t>
        </is>
      </c>
      <c r="K46" s="17" t="n"/>
      <c r="L46" s="17" t="inlineStr">
        <is>
          <t>Chưa test</t>
        </is>
      </c>
      <c r="M46" s="17" t="n"/>
      <c r="N46" s="18" t="n"/>
      <c r="O46" s="17" t="n"/>
    </row>
    <row r="47">
      <c r="A47" s="16" t="inlineStr">
        <is>
          <t>A-TT-013</t>
        </is>
      </c>
      <c r="B47" s="16" t="inlineStr">
        <is>
          <t>Thu chi</t>
        </is>
      </c>
      <c r="C47" s="16" t="inlineStr">
        <is>
          <t>Lập phiếu thu chi</t>
        </is>
      </c>
      <c r="D47" s="16" t="inlineStr">
        <is>
          <t>Thu chi › +</t>
        </is>
      </c>
      <c r="E47" s="16" t="inlineStr">
        <is>
          <t>Chức năng</t>
        </is>
      </c>
      <c r="F47" s="16" t="inlineStr">
        <is>
          <t>Chuyển quỹ</t>
        </is>
      </c>
      <c r="G47" s="16" t="inlineStr">
        <is>
          <t>App điện thoại (màn rộng dưới 768px), đơn vị Phố Mây gói Standard, hộ kinh doanh TT152</t>
        </is>
      </c>
      <c r="H47" s="16" t="inlineStr">
        <is>
          <t>1. Tab Chuyển quỹ bấm +
2. Chọn quỹ đi, quỹ đến, số tiền, lưu</t>
        </is>
      </c>
      <c r="I47" s="16" t="inlineStr">
        <is>
          <t>Form không có thẻ Chi tiết; lưu xong quỹ đi giảm, quỹ đến tăng</t>
        </is>
      </c>
      <c r="J47" s="16" t="inlineStr">
        <is>
          <t>Trung bình</t>
        </is>
      </c>
      <c r="K47" s="17" t="n"/>
      <c r="L47" s="17" t="inlineStr">
        <is>
          <t>Chưa test</t>
        </is>
      </c>
      <c r="M47" s="17" t="n"/>
      <c r="N47" s="18" t="n"/>
      <c r="O47" s="17" t="n"/>
    </row>
    <row r="48">
      <c r="A48" s="16" t="inlineStr">
        <is>
          <t>A-TT-014</t>
        </is>
      </c>
      <c r="B48" s="16" t="inlineStr">
        <is>
          <t>Thu chi</t>
        </is>
      </c>
      <c r="C48" s="16" t="inlineStr">
        <is>
          <t>Lập phiếu thu chi</t>
        </is>
      </c>
      <c r="D48" s="16" t="inlineStr">
        <is>
          <t>Thu chi › +</t>
        </is>
      </c>
      <c r="E48" s="16" t="inlineStr">
        <is>
          <t>Tích hợp</t>
        </is>
      </c>
      <c r="F48" s="16" t="inlineStr">
        <is>
          <t>Chi phí chờ phân bổ</t>
        </is>
      </c>
      <c r="G48" s="16" t="inlineStr">
        <is>
          <t>App điện thoại (màn rộng dưới 768px), đơn vị Phố Mây gói Standard, hộ kinh doanh TT152</t>
        </is>
      </c>
      <c r="H48" s="16" t="inlineStr">
        <is>
          <t>1. Lập phiếu chi lý do Chi phí chờ phân bổ, lưu
2. Mở lại phiếu, bấm Sửa</t>
        </is>
      </c>
      <c r="I48" s="16" t="inlineStr">
        <is>
          <t>Phiếu đã có thẻ phân bổ thì báo 'Không sửa được…' kèm nút Mở thẻ</t>
        </is>
      </c>
      <c r="J48" s="16" t="inlineStr">
        <is>
          <t>Cao</t>
        </is>
      </c>
      <c r="K48" s="17" t="n"/>
      <c r="L48" s="17" t="inlineStr">
        <is>
          <t>Chưa test</t>
        </is>
      </c>
      <c r="M48" s="17" t="n"/>
      <c r="N48" s="18" t="n"/>
      <c r="O48" s="17" t="n"/>
    </row>
    <row r="49">
      <c r="A49" s="16" t="inlineStr">
        <is>
          <t>A-TT-015</t>
        </is>
      </c>
      <c r="B49" s="16" t="inlineStr">
        <is>
          <t>Thu chi</t>
        </is>
      </c>
      <c r="C49" s="16" t="inlineStr">
        <is>
          <t>Xem phiếu thu chi</t>
        </is>
      </c>
      <c r="D49" s="16" t="inlineStr">
        <is>
          <t>Thu chi › bấm phiếu</t>
        </is>
      </c>
      <c r="E49" s="16" t="inlineStr">
        <is>
          <t>Hiển thị</t>
        </is>
      </c>
      <c r="F49" s="16" t="inlineStr">
        <is>
          <t>Màn xem phiếu</t>
        </is>
      </c>
      <c r="G49" s="16" t="inlineStr">
        <is>
          <t>App điện thoại (màn rộng dưới 768px), đơn vị Phố Mây gói Standard, hộ kinh doanh TT152</t>
        </is>
      </c>
      <c r="H49" s="16" t="inlineStr">
        <is>
          <t>1. Mở một phiếu
2. Chuyển Chi tiết / Lịch sử
3. Mở menu ⋯</t>
        </is>
      </c>
      <c r="I49" s="16" t="inlineStr">
        <is>
          <t>Có Chi tiết, Lịch sử; không có Đính kèm, Hạch toán. Chân có nút Sửa phiếu; menu có Sửa, Sao chép, Xoá chứng từ; không có Xuất Excel, In phiếu</t>
        </is>
      </c>
      <c r="J49" s="16" t="inlineStr">
        <is>
          <t>Cao</t>
        </is>
      </c>
      <c r="K49" s="17" t="n"/>
      <c r="L49" s="17" t="inlineStr">
        <is>
          <t>Chưa test</t>
        </is>
      </c>
      <c r="M49" s="17" t="n"/>
      <c r="N49" s="18" t="n"/>
      <c r="O49" s="17" t="n"/>
    </row>
    <row r="50">
      <c r="A50" s="16" t="inlineStr">
        <is>
          <t>A-TT-016</t>
        </is>
      </c>
      <c r="B50" s="16" t="inlineStr">
        <is>
          <t>Thu chi</t>
        </is>
      </c>
      <c r="C50" s="16" t="inlineStr">
        <is>
          <t>Xem phiếu thu chi</t>
        </is>
      </c>
      <c r="D50" s="16" t="inlineStr">
        <is>
          <t>Thu chi › bấm phiếu</t>
        </is>
      </c>
      <c r="E50" s="16" t="inlineStr">
        <is>
          <t>Chức năng</t>
        </is>
      </c>
      <c r="F50" s="16" t="inlineStr">
        <is>
          <t>Sửa, sao chép, xoá</t>
        </is>
      </c>
      <c r="G50" s="16" t="inlineStr">
        <is>
          <t>App điện thoại (màn rộng dưới 768px), đơn vị Phố Mây gói Standard, hộ kinh doanh TT152</t>
        </is>
      </c>
      <c r="H50" s="16" t="inlineStr">
        <is>
          <t>1. Sửa số tiền, lưu
2. Sao chép
3. Xoá, bấm huỷ ở hộp xác nhận
4. Xoá, đồng ý</t>
        </is>
      </c>
      <c r="I50" s="16" t="inlineStr">
        <is>
          <t>Sửa cập nhật số; sao chép mở form phiếu mới số mới; xoá hỏi 'Phiếu đã xoá không lấy lại được', đồng ý thì ra màn 'Xoá phiếu thành công'</t>
        </is>
      </c>
      <c r="J50" s="16" t="inlineStr">
        <is>
          <t>Trung bình</t>
        </is>
      </c>
      <c r="K50" s="17" t="n"/>
      <c r="L50" s="17" t="inlineStr">
        <is>
          <t>Chưa test</t>
        </is>
      </c>
      <c r="M50" s="17" t="n"/>
      <c r="N50" s="18" t="n"/>
      <c r="O50" s="17" t="n"/>
    </row>
    <row r="51">
      <c r="A51" s="16" t="inlineStr">
        <is>
          <t>A-TT-017</t>
        </is>
      </c>
      <c r="B51" s="16" t="inlineStr">
        <is>
          <t>Thu chi</t>
        </is>
      </c>
      <c r="C51" s="16" t="inlineStr">
        <is>
          <t>Lịch sử phiếu</t>
        </is>
      </c>
      <c r="D51" s="16" t="inlineStr">
        <is>
          <t>Xem phiếu › Lịch sử</t>
        </is>
      </c>
      <c r="E51" s="16" t="inlineStr">
        <is>
          <t>Hiển thị</t>
        </is>
      </c>
      <c r="F51" s="16" t="inlineStr">
        <is>
          <t>Dòng thời gian thao tác</t>
        </is>
      </c>
      <c r="G51" s="16" t="inlineStr">
        <is>
          <t>App điện thoại (màn rộng dưới 768px), đơn vị Phố Mây gói Standard, hộ kinh doanh TT152</t>
        </is>
      </c>
      <c r="H51" s="16" t="inlineStr">
        <is>
          <t>1. Sửa một phiếu
2. Mở tab Lịch sử</t>
        </is>
      </c>
      <c r="I51" s="16" t="inlineStr">
        <is>
          <t>Dòng thời gian gom theo ngày, có lần tạo, lần sửa, người làm</t>
        </is>
      </c>
      <c r="J51" s="16" t="inlineStr">
        <is>
          <t>Thấp</t>
        </is>
      </c>
      <c r="K51" s="17" t="n"/>
      <c r="L51" s="17" t="inlineStr">
        <is>
          <t>Chưa test</t>
        </is>
      </c>
      <c r="M51" s="17" t="n"/>
      <c r="N51" s="18" t="n"/>
      <c r="O51" s="17" t="n"/>
    </row>
    <row r="52">
      <c r="A52" s="16" t="inlineStr">
        <is>
          <t>A-BH-001</t>
        </is>
      </c>
      <c r="B52" s="16" t="inlineStr">
        <is>
          <t>Kế toán bán hàng</t>
        </is>
      </c>
      <c r="C52" s="16" t="inlineStr">
        <is>
          <t>Xuất bán POS</t>
        </is>
      </c>
      <c r="D52" s="16" t="inlineStr">
        <is>
          <t>Nghiệp vụ › Xuất bán POS</t>
        </is>
      </c>
      <c r="E52" s="16" t="inlineStr">
        <is>
          <t>Ràng buộc</t>
        </is>
      </c>
      <c r="F52" s="16" t="inlineStr">
        <is>
          <t>Chỉ xem, không lập tay</t>
        </is>
      </c>
      <c r="G52" s="16" t="inlineStr">
        <is>
          <t>App điện thoại (màn rộng dưới 768px), đơn vị Phố Mây gói Standard, hộ kinh doanh TT152</t>
        </is>
      </c>
      <c r="H52" s="16" t="inlineStr">
        <is>
          <t>1. Mở Xuất bán POS
2. Tìm nút +
3. Mở một đơn, xem chân màn</t>
        </is>
      </c>
      <c r="I52" s="16" t="inlineStr">
        <is>
          <t>Không có nút lập phiếu. Chân chỉ có nút Đóng: không In phiếu, không Xem hạch toán, không Sửa, Trả hàng, Huỷ</t>
        </is>
      </c>
      <c r="J52" s="16" t="inlineStr">
        <is>
          <t>Cao</t>
        </is>
      </c>
      <c r="K52" s="17" t="n"/>
      <c r="L52" s="17" t="inlineStr">
        <is>
          <t>Chưa test</t>
        </is>
      </c>
      <c r="M52" s="17" t="n"/>
      <c r="N52" s="18" t="n"/>
      <c r="O52" s="17" t="n"/>
    </row>
    <row r="53">
      <c r="A53" s="16" t="inlineStr">
        <is>
          <t>A-BH-002</t>
        </is>
      </c>
      <c r="B53" s="16" t="inlineStr">
        <is>
          <t>Kế toán bán hàng</t>
        </is>
      </c>
      <c r="C53" s="16" t="inlineStr">
        <is>
          <t>Xuất bán POS</t>
        </is>
      </c>
      <c r="D53" s="16" t="inlineStr">
        <is>
          <t>Nghiệp vụ › Xuất bán POS</t>
        </is>
      </c>
      <c r="E53" s="16" t="inlineStr">
        <is>
          <t>Chức năng</t>
        </is>
      </c>
      <c r="F53" s="16" t="inlineStr">
        <is>
          <t>Lọc danh sách</t>
        </is>
      </c>
      <c r="G53" s="16" t="inlineStr">
        <is>
          <t>App điện thoại (màn rộng dưới 768px), đơn vị Phố Mây gói Standard, hộ kinh doanh TT152</t>
        </is>
      </c>
      <c r="H53" s="16" t="inlineStr">
        <is>
          <t>1. Đổi khoảng ngày
2. Dùng các ô lọc
3. Đổi cửa hàng</t>
        </is>
      </c>
      <c r="I53" s="16" t="inlineStr">
        <is>
          <t>Danh sách và tổng tính lại đúng</t>
        </is>
      </c>
      <c r="J53" s="16" t="inlineStr">
        <is>
          <t>Trung bình</t>
        </is>
      </c>
      <c r="K53" s="17" t="n"/>
      <c r="L53" s="17" t="inlineStr">
        <is>
          <t>Chưa test</t>
        </is>
      </c>
      <c r="M53" s="17" t="n"/>
      <c r="N53" s="18" t="n"/>
      <c r="O53" s="17" t="n"/>
    </row>
    <row r="54">
      <c r="A54" s="16" t="inlineStr">
        <is>
          <t>A-BH-003</t>
        </is>
      </c>
      <c r="B54" s="16" t="inlineStr">
        <is>
          <t>Kế toán bán hàng</t>
        </is>
      </c>
      <c r="C54" s="16" t="inlineStr">
        <is>
          <t>Xuất bán POS</t>
        </is>
      </c>
      <c r="D54" s="16" t="inlineStr">
        <is>
          <t>Xuất bán POS › bấm đơn</t>
        </is>
      </c>
      <c r="E54" s="16" t="inlineStr">
        <is>
          <t>Tích hợp</t>
        </is>
      </c>
      <c r="F54" s="16" t="inlineStr">
        <is>
          <t>Chi tiết đơn</t>
        </is>
      </c>
      <c r="G54" s="16" t="inlineStr">
        <is>
          <t>App điện thoại (màn rộng dưới 768px), đơn vị Phố Mây gói Standard, hộ kinh doanh TT152</t>
        </is>
      </c>
      <c r="H54" s="16" t="inlineStr">
        <is>
          <t>1. Mở một đơn
2. Tìm hàng hoá trong đơn
3. Bấm chép mã tra cứu
4. Kiểm dòng giảm thuế, phương thức thanh toán</t>
        </is>
      </c>
      <c r="I54" s="16" t="inlineStr">
        <is>
          <t>Dòng món khớp FABi; có Giảm thuế GTGT, không có cột thuế; chép được mã tra cứu</t>
        </is>
      </c>
      <c r="J54" s="16" t="inlineStr">
        <is>
          <t>Cao</t>
        </is>
      </c>
      <c r="K54" s="17" t="n"/>
      <c r="L54" s="17" t="inlineStr">
        <is>
          <t>Chưa test</t>
        </is>
      </c>
      <c r="M54" s="17" t="n"/>
      <c r="N54" s="18" t="n"/>
      <c r="O54" s="17" t="n"/>
    </row>
    <row r="55">
      <c r="A55" s="16" t="inlineStr">
        <is>
          <t>A-BH-004</t>
        </is>
      </c>
      <c r="B55" s="16" t="inlineStr">
        <is>
          <t>Kế toán bán hàng</t>
        </is>
      </c>
      <c r="C55" s="16" t="inlineStr">
        <is>
          <t>Xuất bán POS</t>
        </is>
      </c>
      <c r="D55" s="16" t="inlineStr">
        <is>
          <t>Xuất bán POS › Báo cáo theo dõi</t>
        </is>
      </c>
      <c r="E55" s="16" t="inlineStr">
        <is>
          <t>Chức năng</t>
        </is>
      </c>
      <c r="F55" s="16" t="inlineStr">
        <is>
          <t>Tab Báo cáo theo dõi</t>
        </is>
      </c>
      <c r="G55" s="16" t="inlineStr">
        <is>
          <t>App điện thoại (màn rộng dưới 768px), đơn vị Phố Mây gói Standard, hộ kinh doanh TT152</t>
        </is>
      </c>
      <c r="H55" s="16" t="inlineStr">
        <is>
          <t>1. Mở tab Báo cáo theo dõi
2. Bấm một báo cáo</t>
        </is>
      </c>
      <c r="I55" s="16" t="inlineStr">
        <is>
          <t>Chỉ có báo cáo bán hàng của gói Standard, mở đúng báo cáo</t>
        </is>
      </c>
      <c r="J55" s="16" t="inlineStr">
        <is>
          <t>Thấp</t>
        </is>
      </c>
      <c r="K55" s="17" t="n"/>
      <c r="L55" s="17" t="inlineStr">
        <is>
          <t>Chưa test</t>
        </is>
      </c>
      <c r="M55" s="17" t="n"/>
      <c r="N55" s="18" t="n"/>
      <c r="O55" s="17" t="n"/>
    </row>
    <row r="56">
      <c r="A56" s="16" t="inlineStr">
        <is>
          <t>A-MH-001</t>
        </is>
      </c>
      <c r="B56" s="16" t="inlineStr">
        <is>
          <t>Kế toán mua hàng</t>
        </is>
      </c>
      <c r="C56" s="16" t="inlineStr">
        <is>
          <t>Danh sách mua hàng</t>
        </is>
      </c>
      <c r="D56" s="16" t="inlineStr">
        <is>
          <t>Nghiệp vụ › Mua hàng</t>
        </is>
      </c>
      <c r="E56" s="16" t="inlineStr">
        <is>
          <t>Hiển thị</t>
        </is>
      </c>
      <c r="F56" s="16" t="inlineStr">
        <is>
          <t>Tab danh sách</t>
        </is>
      </c>
      <c r="G56" s="16" t="inlineStr">
        <is>
          <t>App điện thoại (màn rộng dưới 768px), đơn vị Phố Mây gói Standard, hộ kinh doanh TT152</t>
        </is>
      </c>
      <c r="H56" s="16" t="inlineStr">
        <is>
          <t>1. Mở Mua hàng</t>
        </is>
      </c>
      <c r="I56" s="16" t="inlineStr">
        <is>
          <t>Có tab Chứng từ mua hàng và Báo cáo theo dõi; danh sách lọc theo cửa hàng, kỳ</t>
        </is>
      </c>
      <c r="J56" s="16" t="inlineStr">
        <is>
          <t>Trung bình</t>
        </is>
      </c>
      <c r="K56" s="17" t="n"/>
      <c r="L56" s="17" t="inlineStr">
        <is>
          <t>Chưa test</t>
        </is>
      </c>
      <c r="M56" s="17" t="n"/>
      <c r="N56" s="18" t="n"/>
      <c r="O56" s="17" t="n"/>
    </row>
    <row r="57">
      <c r="A57" s="16" t="inlineStr">
        <is>
          <t>A-MH-002</t>
        </is>
      </c>
      <c r="B57" s="16" t="inlineStr">
        <is>
          <t>Kế toán mua hàng</t>
        </is>
      </c>
      <c r="C57" s="16" t="inlineStr">
        <is>
          <t>Lập phiếu mua</t>
        </is>
      </c>
      <c r="D57" s="16" t="inlineStr">
        <is>
          <t>Mua hàng › +</t>
        </is>
      </c>
      <c r="E57" s="16" t="inlineStr">
        <is>
          <t>Chức năng</t>
        </is>
      </c>
      <c r="F57" s="16" t="inlineStr">
        <is>
          <t>Lập phiếu còn nợ</t>
        </is>
      </c>
      <c r="G57" s="16" t="inlineStr">
        <is>
          <t>App điện thoại (màn rộng dưới 768px), đơn vị Phố Mây gói Standard, hộ kinh doanh TT152</t>
        </is>
      </c>
      <c r="H57" s="16" t="inlineStr">
        <is>
          <t>1. Bấm +
2. Chọn NCC, kho nhập, ngày, chọn 2 mặt hàng, nhập số lượng, đơn giá
3. Không tích Đã thanh toán, lưu</t>
        </is>
      </c>
      <c r="I57" s="16" t="inlineStr">
        <is>
          <t>Khối tổng 5 dòng tính đúng; không có quy đổi ĐVT. Lưu xong ra màn Thành công; phiếu còn nợ</t>
        </is>
      </c>
      <c r="J57" s="16" t="inlineStr">
        <is>
          <t>Cao</t>
        </is>
      </c>
      <c r="K57" s="17" t="n"/>
      <c r="L57" s="17" t="inlineStr">
        <is>
          <t>Chưa test</t>
        </is>
      </c>
      <c r="M57" s="17" t="n"/>
      <c r="N57" s="18" t="n"/>
      <c r="O57" s="17" t="n"/>
    </row>
    <row r="58">
      <c r="A58" s="16" t="inlineStr">
        <is>
          <t>A-MH-003</t>
        </is>
      </c>
      <c r="B58" s="16" t="inlineStr">
        <is>
          <t>Kế toán mua hàng</t>
        </is>
      </c>
      <c r="C58" s="16" t="inlineStr">
        <is>
          <t>Lập phiếu mua</t>
        </is>
      </c>
      <c r="D58" s="16" t="inlineStr">
        <is>
          <t>Mua hàng › +</t>
        </is>
      </c>
      <c r="E58" s="16" t="inlineStr">
        <is>
          <t>Ràng buộc</t>
        </is>
      </c>
      <c r="F58" s="16" t="inlineStr">
        <is>
          <t>Kiểm tra khi lưu</t>
        </is>
      </c>
      <c r="G58" s="16" t="inlineStr">
        <is>
          <t>App điện thoại (màn rộng dưới 768px), đơn vị Phố Mây gói Standard, hộ kinh doanh TT152</t>
        </is>
      </c>
      <c r="H58" s="16" t="inlineStr">
        <is>
          <t>1. Lưu khi chưa chọn NCC
2. Chưa chọn kho
3. Chưa có mặt hàng
4. Bỏ trống thời gian
5. Ngày trước đầu năm tài chính</t>
        </is>
      </c>
      <c r="I58" s="16" t="inlineStr">
        <is>
          <t>Báo lần lượt 'Vui lòng chọn nhà cung cấp', '…kho nhận', '…chọn ít nhất một mặt hàng', '…chọn thời gian', 'Ngày chứng từ phải từ ngày đầu năm … trở đi'</t>
        </is>
      </c>
      <c r="J58" s="16" t="inlineStr">
        <is>
          <t>Cao</t>
        </is>
      </c>
      <c r="K58" s="17" t="n"/>
      <c r="L58" s="17" t="inlineStr">
        <is>
          <t>Chưa test</t>
        </is>
      </c>
      <c r="M58" s="17" t="n"/>
      <c r="N58" s="18" t="n"/>
      <c r="O58" s="17" t="n"/>
    </row>
    <row r="59">
      <c r="A59" s="16" t="inlineStr">
        <is>
          <t>A-MH-004</t>
        </is>
      </c>
      <c r="B59" s="16" t="inlineStr">
        <is>
          <t>Kế toán mua hàng</t>
        </is>
      </c>
      <c r="C59" s="16" t="inlineStr">
        <is>
          <t>Lập phiếu mua</t>
        </is>
      </c>
      <c r="D59" s="16" t="inlineStr">
        <is>
          <t>Mua hàng › +</t>
        </is>
      </c>
      <c r="E59" s="16" t="inlineStr">
        <is>
          <t>Tích hợp</t>
        </is>
      </c>
      <c r="F59" s="16" t="inlineStr">
        <is>
          <t>Đã thanh toán</t>
        </is>
      </c>
      <c r="G59" s="16" t="inlineStr">
        <is>
          <t>App điện thoại (màn rộng dưới 768px), đơn vị Phố Mây gói Standard, hộ kinh doanh TT152</t>
        </is>
      </c>
      <c r="H59" s="16" t="inlineStr">
        <is>
          <t>1. Tích Đã thanh toán
2. Bỏ trống quỹ, lưu
3. Chọn quỹ, lưu</t>
        </is>
      </c>
      <c r="I59" s="16" t="inlineStr">
        <is>
          <t>Hiện ô Quỹ thanh toán; thiếu quỹ báo lỗi. Lưu xong tự sinh phiếu chi/UNC bằng tổng tiền, tham chiếu hai chiều</t>
        </is>
      </c>
      <c r="J59" s="16" t="inlineStr">
        <is>
          <t>Cao</t>
        </is>
      </c>
      <c r="K59" s="17" t="n"/>
      <c r="L59" s="17" t="inlineStr">
        <is>
          <t>Chưa test</t>
        </is>
      </c>
      <c r="M59" s="17" t="n"/>
      <c r="N59" s="18" t="n"/>
      <c r="O59" s="17" t="n"/>
    </row>
    <row r="60">
      <c r="A60" s="16" t="inlineStr">
        <is>
          <t>A-MH-005</t>
        </is>
      </c>
      <c r="B60" s="16" t="inlineStr">
        <is>
          <t>Kế toán mua hàng</t>
        </is>
      </c>
      <c r="C60" s="16" t="inlineStr">
        <is>
          <t>Lập phiếu mua</t>
        </is>
      </c>
      <c r="D60" s="16" t="inlineStr">
        <is>
          <t>Mua hàng › +</t>
        </is>
      </c>
      <c r="E60" s="16" t="inlineStr">
        <is>
          <t>Ràng buộc</t>
        </is>
      </c>
      <c r="F60" s="16" t="inlineStr">
        <is>
          <t>Nhận kèm hoá đơn</t>
        </is>
      </c>
      <c r="G60" s="16" t="inlineStr">
        <is>
          <t>App điện thoại (màn rộng dưới 768px), đơn vị Phố Mây gói Standard, hộ kinh doanh TT152</t>
        </is>
      </c>
      <c r="H60" s="16" t="inlineStr">
        <is>
          <t>1. Tích Nhận kèm hoá đơn
2. Bỏ trống Số HĐ, Ký hiệu, Ngày HĐ lần lượt, lưu</t>
        </is>
      </c>
      <c r="I60" s="16" t="inlineStr">
        <is>
          <t>Báo 'Vui lòng nhập số hoá đơn', '…nhập ký hiệu', '…chọn ngày hoá đơn'</t>
        </is>
      </c>
      <c r="J60" s="16" t="inlineStr">
        <is>
          <t>Cao</t>
        </is>
      </c>
      <c r="K60" s="17" t="n"/>
      <c r="L60" s="17" t="inlineStr">
        <is>
          <t>Chưa test</t>
        </is>
      </c>
      <c r="M60" s="17" t="n"/>
      <c r="N60" s="18" t="n"/>
      <c r="O60" s="17" t="n"/>
    </row>
    <row r="61">
      <c r="A61" s="16" t="inlineStr">
        <is>
          <t>A-MH-006</t>
        </is>
      </c>
      <c r="B61" s="16" t="inlineStr">
        <is>
          <t>Kế toán mua hàng</t>
        </is>
      </c>
      <c r="C61" s="16" t="inlineStr">
        <is>
          <t>Lập phiếu mua</t>
        </is>
      </c>
      <c r="D61" s="16" t="inlineStr">
        <is>
          <t>Mua hàng › +</t>
        </is>
      </c>
      <c r="E61" s="16" t="inlineStr">
        <is>
          <t>Chức năng</t>
        </is>
      </c>
      <c r="F61" s="16" t="inlineStr">
        <is>
          <t>Thêm nhanh nhà cung cấp</t>
        </is>
      </c>
      <c r="G61" s="16" t="inlineStr">
        <is>
          <t>App điện thoại (màn rộng dưới 768px), đơn vị Phố Mây gói Standard, hộ kinh doanh TT152</t>
        </is>
      </c>
      <c r="H61" s="16" t="inlineStr">
        <is>
          <t>1. Ở ô NCC bấm thêm mới, bỏ trống tên
2. Nhập tên, lưu</t>
        </is>
      </c>
      <c r="I61" s="16" t="inlineStr">
        <is>
          <t>Báo 'Vui lòng nhập tên nhà cung cấp'; nhập đủ thì chọn sẵn vào phiếu</t>
        </is>
      </c>
      <c r="J61" s="16" t="inlineStr">
        <is>
          <t>Trung bình</t>
        </is>
      </c>
      <c r="K61" s="17" t="n"/>
      <c r="L61" s="17" t="inlineStr">
        <is>
          <t>Chưa test</t>
        </is>
      </c>
      <c r="M61" s="17" t="n"/>
      <c r="N61" s="18" t="n"/>
      <c r="O61" s="17" t="n"/>
    </row>
    <row r="62">
      <c r="A62" s="16" t="inlineStr">
        <is>
          <t>A-MH-007</t>
        </is>
      </c>
      <c r="B62" s="16" t="inlineStr">
        <is>
          <t>Kế toán mua hàng</t>
        </is>
      </c>
      <c r="C62" s="16" t="inlineStr">
        <is>
          <t>Xem phiếu mua</t>
        </is>
      </c>
      <c r="D62" s="16" t="inlineStr">
        <is>
          <t>Mua hàng › bấm phiếu</t>
        </is>
      </c>
      <c r="E62" s="16" t="inlineStr">
        <is>
          <t>Chức năng</t>
        </is>
      </c>
      <c r="F62" s="16" t="inlineStr">
        <is>
          <t>Thanh toán phiếu còn nợ</t>
        </is>
      </c>
      <c r="G62" s="16" t="inlineStr">
        <is>
          <t>App điện thoại (màn rộng dưới 768px), đơn vị Phố Mây gói Standard, hộ kinh doanh TT152</t>
        </is>
      </c>
      <c r="H62" s="16" t="inlineStr">
        <is>
          <t>1. Mở phiếu còn nợ, bấm Thanh toán
2. Chọn tiền mặt / ngân hàng, nhập số tiền vượt số còn nợ
3. Nhập hợp lệ, lưu</t>
        </is>
      </c>
      <c r="I62" s="16" t="inlineStr">
        <is>
          <t>Mở màn Thanh toán; vượt số còn nợ báo lỗi; hợp lệ thì lập phiếu chi/UNC trả NCC, số còn nợ giảm</t>
        </is>
      </c>
      <c r="J62" s="16" t="inlineStr">
        <is>
          <t>Cao</t>
        </is>
      </c>
      <c r="K62" s="17" t="n"/>
      <c r="L62" s="17" t="inlineStr">
        <is>
          <t>Chưa test</t>
        </is>
      </c>
      <c r="M62" s="17" t="n"/>
      <c r="N62" s="18" t="n"/>
      <c r="O62" s="17" t="n"/>
    </row>
    <row r="63">
      <c r="A63" s="16" t="inlineStr">
        <is>
          <t>A-MH-008</t>
        </is>
      </c>
      <c r="B63" s="16" t="inlineStr">
        <is>
          <t>Kế toán mua hàng</t>
        </is>
      </c>
      <c r="C63" s="16" t="inlineStr">
        <is>
          <t>Xem phiếu mua</t>
        </is>
      </c>
      <c r="D63" s="16" t="inlineStr">
        <is>
          <t>Mua hàng › bấm phiếu</t>
        </is>
      </c>
      <c r="E63" s="16" t="inlineStr">
        <is>
          <t>Ràng buộc</t>
        </is>
      </c>
      <c r="F63" s="16" t="inlineStr">
        <is>
          <t>Phiếu đã trả không sửa</t>
        </is>
      </c>
      <c r="G63" s="16" t="inlineStr">
        <is>
          <t>App điện thoại (màn rộng dưới 768px), đơn vị Phố Mây gói Standard, hộ kinh doanh TT152</t>
        </is>
      </c>
      <c r="H63" s="16" t="inlineStr">
        <is>
          <t>1. Mở phiếu đã trả một phần, bấm Sửa</t>
        </is>
      </c>
      <c r="I63" s="16" t="inlineStr">
        <is>
          <t>Không sửa được, có nút Mở phiếu chi</t>
        </is>
      </c>
      <c r="J63" s="16" t="inlineStr">
        <is>
          <t>Cao</t>
        </is>
      </c>
      <c r="K63" s="17" t="n"/>
      <c r="L63" s="17" t="inlineStr">
        <is>
          <t>Chưa test</t>
        </is>
      </c>
      <c r="M63" s="17" t="n"/>
      <c r="N63" s="18" t="n"/>
      <c r="O63" s="17" t="n"/>
    </row>
    <row r="64">
      <c r="A64" s="16" t="inlineStr">
        <is>
          <t>A-KK-001</t>
        </is>
      </c>
      <c r="B64" s="16" t="inlineStr">
        <is>
          <t>Kiểm kê</t>
        </is>
      </c>
      <c r="C64" s="16" t="inlineStr">
        <is>
          <t>Danh sách kiểm kê</t>
        </is>
      </c>
      <c r="D64" s="16" t="inlineStr">
        <is>
          <t>Nghiệp vụ › Kiểm kê</t>
        </is>
      </c>
      <c r="E64" s="16" t="inlineStr">
        <is>
          <t>Hiển thị</t>
        </is>
      </c>
      <c r="F64" s="16" t="inlineStr">
        <is>
          <t>4 tab</t>
        </is>
      </c>
      <c r="G64" s="16" t="inlineStr">
        <is>
          <t>App điện thoại (màn rộng dưới 768px), đơn vị Phố Mây gói Standard, hộ kinh doanh TT152</t>
        </is>
      </c>
      <c r="H64" s="16" t="inlineStr">
        <is>
          <t>1. Mở Kiểm kê</t>
        </is>
      </c>
      <c r="I64" s="16" t="inlineStr">
        <is>
          <t>Tab Kiểm kê, Xuất điều chỉnh, Nhập điều chỉnh, Báo cáo</t>
        </is>
      </c>
      <c r="J64" s="16" t="inlineStr">
        <is>
          <t>Trung bình</t>
        </is>
      </c>
      <c r="K64" s="17" t="n"/>
      <c r="L64" s="17" t="inlineStr">
        <is>
          <t>Chưa test</t>
        </is>
      </c>
      <c r="M64" s="17" t="n"/>
      <c r="N64" s="18" t="n"/>
      <c r="O64" s="17" t="n"/>
    </row>
    <row r="65">
      <c r="A65" s="16" t="inlineStr">
        <is>
          <t>A-KK-002</t>
        </is>
      </c>
      <c r="B65" s="16" t="inlineStr">
        <is>
          <t>Kiểm kê</t>
        </is>
      </c>
      <c r="C65" s="16" t="inlineStr">
        <is>
          <t>Lập phiếu kiểm kê</t>
        </is>
      </c>
      <c r="D65" s="16" t="inlineStr">
        <is>
          <t>Kiểm kê › +</t>
        </is>
      </c>
      <c r="E65" s="16" t="inlineStr">
        <is>
          <t>Chức năng</t>
        </is>
      </c>
      <c r="F65" s="16" t="inlineStr">
        <is>
          <t>Lập phiếu kiểm kê</t>
        </is>
      </c>
      <c r="G65" s="16" t="inlineStr">
        <is>
          <t>App điện thoại (màn rộng dưới 768px), đơn vị Phố Mây gói Standard, hộ kinh doanh TT152</t>
        </is>
      </c>
      <c r="H65" s="16" t="inlineStr">
        <is>
          <t>1. Bấm +
2. Chọn kho, thêm mặt hàng
3. Nhập tồn thực tế: một hàng ít hơn, một hàng nhiều hơn, một hàng bằng
4. Lưu</t>
        </is>
      </c>
      <c r="I65" s="16" t="inlineStr">
        <is>
          <t>Mỗi thẻ hàng có Tồn sổ sách, Thực tế, Chênh lệch kèm chip Thiếu / Thừa / Khớp; không có tiền. Lưu xong mở phiếu/màn Thành công</t>
        </is>
      </c>
      <c r="J65" s="16" t="inlineStr">
        <is>
          <t>Cao</t>
        </is>
      </c>
      <c r="K65" s="17" t="n"/>
      <c r="L65" s="17" t="inlineStr">
        <is>
          <t>Chưa test</t>
        </is>
      </c>
      <c r="M65" s="17" t="n"/>
      <c r="N65" s="18" t="n"/>
      <c r="O65" s="17" t="n"/>
    </row>
    <row r="66">
      <c r="A66" s="16" t="inlineStr">
        <is>
          <t>A-KK-003</t>
        </is>
      </c>
      <c r="B66" s="16" t="inlineStr">
        <is>
          <t>Kiểm kê</t>
        </is>
      </c>
      <c r="C66" s="16" t="inlineStr">
        <is>
          <t>Lập phiếu kiểm kê</t>
        </is>
      </c>
      <c r="D66" s="16" t="inlineStr">
        <is>
          <t>Kiểm kê › +</t>
        </is>
      </c>
      <c r="E66" s="16" t="inlineStr">
        <is>
          <t>Ràng buộc</t>
        </is>
      </c>
      <c r="F66" s="16" t="inlineStr">
        <is>
          <t>Kiểm tra khi lưu</t>
        </is>
      </c>
      <c r="G66" s="16" t="inlineStr">
        <is>
          <t>App điện thoại (màn rộng dưới 768px), đơn vị Phố Mây gói Standard, hộ kinh doanh TT152</t>
        </is>
      </c>
      <c r="H66" s="16" t="inlineStr">
        <is>
          <t>1. Lưu khi chưa chọn cửa hàng, kho
2. Chưa có mặt hàng
3. Bỏ trống thời gian, ngày trước đầu năm</t>
        </is>
      </c>
      <c r="I66" s="16" t="inlineStr">
        <is>
          <t>Báo 'Vui lòng chọn cửa hàng', '…kho', '…ít nhất một mặt hàng', '…thời gian', lỗi ngày</t>
        </is>
      </c>
      <c r="J66" s="16" t="inlineStr">
        <is>
          <t>Cao</t>
        </is>
      </c>
      <c r="K66" s="17" t="n"/>
      <c r="L66" s="17" t="inlineStr">
        <is>
          <t>Chưa test</t>
        </is>
      </c>
      <c r="M66" s="17" t="n"/>
      <c r="N66" s="18" t="n"/>
      <c r="O66" s="17" t="n"/>
    </row>
    <row r="67">
      <c r="A67" s="16" t="inlineStr">
        <is>
          <t>A-KK-004</t>
        </is>
      </c>
      <c r="B67" s="16" t="inlineStr">
        <is>
          <t>Kiểm kê</t>
        </is>
      </c>
      <c r="C67" s="16" t="inlineStr">
        <is>
          <t>Phiếu điều chỉnh</t>
        </is>
      </c>
      <c r="D67" s="16" t="inlineStr">
        <is>
          <t>Kiểm kê › tab Xuất/Nhập điều chỉnh</t>
        </is>
      </c>
      <c r="E67" s="16" t="inlineStr">
        <is>
          <t>Tích hợp</t>
        </is>
      </c>
      <c r="F67" s="16" t="inlineStr">
        <is>
          <t>Sinh phiếu điều chỉnh, chỉ xem</t>
        </is>
      </c>
      <c r="G67" s="16" t="inlineStr">
        <is>
          <t>App điện thoại (màn rộng dưới 768px), đơn vị Phố Mây gói Standard, hộ kinh doanh TT152</t>
        </is>
      </c>
      <c r="H67" s="16" t="inlineStr">
        <is>
          <t>1. Lưu phiếu kiểm kê có thiếu và thừa
2. Mở tab Xuất điều chỉnh, Nhập điều chỉnh
3. Gõ đường dẫn tạo mới phiếu điều chỉnh</t>
        </is>
      </c>
      <c r="I67" s="16" t="inlineStr">
        <is>
          <t>Có XDC, NDC cùng số với phiếu KK; không có nút +; đường dẫn tạo mới quay về danh sách</t>
        </is>
      </c>
      <c r="J67" s="16" t="inlineStr">
        <is>
          <t>Cao</t>
        </is>
      </c>
      <c r="K67" s="17" t="n"/>
      <c r="L67" s="17" t="inlineStr">
        <is>
          <t>Chưa test</t>
        </is>
      </c>
      <c r="M67" s="17" t="n"/>
      <c r="N67" s="18" t="n"/>
      <c r="O67" s="17" t="n"/>
    </row>
    <row r="68">
      <c r="A68" s="16" t="inlineStr">
        <is>
          <t>A-KK-005</t>
        </is>
      </c>
      <c r="B68" s="16" t="inlineStr">
        <is>
          <t>Kiểm kê</t>
        </is>
      </c>
      <c r="C68" s="16" t="inlineStr">
        <is>
          <t>Xem phiếu kiểm kê</t>
        </is>
      </c>
      <c r="D68" s="16" t="inlineStr">
        <is>
          <t>Kiểm kê › bấm phiếu</t>
        </is>
      </c>
      <c r="E68" s="16" t="inlineStr">
        <is>
          <t>Ràng buộc</t>
        </is>
      </c>
      <c r="F68" s="16" t="inlineStr">
        <is>
          <t>Phiếu đã sinh điều chỉnh</t>
        </is>
      </c>
      <c r="G68" s="16" t="inlineStr">
        <is>
          <t>App điện thoại (màn rộng dưới 768px), đơn vị Phố Mây gói Standard, hộ kinh doanh TT152</t>
        </is>
      </c>
      <c r="H68" s="16" t="inlineStr">
        <is>
          <t>1. Mở phiếu đã sinh điều chỉnh, bấm Sửa
2. Xoá phiếu</t>
        </is>
      </c>
      <c r="I68" s="16" t="inlineStr">
        <is>
          <t>Không sửa được; xoá thì xoá luôn phiếu điều chỉnh (hoặc báo chặn nếu có tham chiếu)</t>
        </is>
      </c>
      <c r="J68" s="16" t="inlineStr">
        <is>
          <t>Cao</t>
        </is>
      </c>
      <c r="K68" s="17" t="n"/>
      <c r="L68" s="17" t="inlineStr">
        <is>
          <t>Chưa test</t>
        </is>
      </c>
      <c r="M68" s="17" t="n"/>
      <c r="N68" s="18" t="n"/>
      <c r="O68" s="17" t="n"/>
    </row>
    <row r="69">
      <c r="A69" s="16" t="inlineStr">
        <is>
          <t>A-PB-001</t>
        </is>
      </c>
      <c r="B69" s="16" t="inlineStr">
        <is>
          <t>Chi phí phân bổ</t>
        </is>
      </c>
      <c r="C69" s="16" t="inlineStr">
        <is>
          <t>Danh sách thẻ</t>
        </is>
      </c>
      <c r="D69" s="16" t="inlineStr">
        <is>
          <t>Nghiệp vụ › Chi phí phân bổ</t>
        </is>
      </c>
      <c r="E69" s="16" t="inlineStr">
        <is>
          <t>Hiển thị</t>
        </is>
      </c>
      <c r="F69" s="16" t="inlineStr">
        <is>
          <t>Danh sách thẻ</t>
        </is>
      </c>
      <c r="G69" s="16" t="inlineStr">
        <is>
          <t>App điện thoại (màn rộng dưới 768px), đơn vị Phố Mây gói Standard, hộ kinh doanh TT152</t>
        </is>
      </c>
      <c r="H69" s="16" t="inlineStr">
        <is>
          <t>1. Mở Chi phí phân bổ</t>
        </is>
      </c>
      <c r="I69" s="16" t="inlineStr">
        <is>
          <t>Chỉ thẻ chi phí trả trước; không có tab Báo cáo theo dõi, còn 1 tab thì ẩn hàng tab</t>
        </is>
      </c>
      <c r="J69" s="16" t="inlineStr">
        <is>
          <t>Trung bình</t>
        </is>
      </c>
      <c r="K69" s="17" t="n"/>
      <c r="L69" s="17" t="inlineStr">
        <is>
          <t>Chưa test</t>
        </is>
      </c>
      <c r="M69" s="17" t="n"/>
      <c r="N69" s="18" t="n"/>
      <c r="O69" s="17" t="n"/>
    </row>
    <row r="70">
      <c r="A70" s="16" t="inlineStr">
        <is>
          <t>A-PB-002</t>
        </is>
      </c>
      <c r="B70" s="16" t="inlineStr">
        <is>
          <t>Chi phí phân bổ</t>
        </is>
      </c>
      <c r="C70" s="16" t="inlineStr">
        <is>
          <t>Thêm thẻ</t>
        </is>
      </c>
      <c r="D70" s="16" t="inlineStr">
        <is>
          <t>Chi phí phân bổ › +</t>
        </is>
      </c>
      <c r="E70" s="16" t="inlineStr">
        <is>
          <t>Chức năng</t>
        </is>
      </c>
      <c r="F70" s="16" t="inlineStr">
        <is>
          <t>Hai kiểu thẻ</t>
        </is>
      </c>
      <c r="G70" s="16" t="inlineStr">
        <is>
          <t>App điện thoại (màn rộng dưới 768px), đơn vị Phố Mây gói Standard, hộ kinh doanh TT152</t>
        </is>
      </c>
      <c r="H70" s="16" t="inlineStr">
        <is>
          <t>1. Bấm +
2. Chọn Thẻ chi phí, nhập đủ, lưu
3. Bấm +, chọn Thẻ chi phí dư đầu kỳ, lưu</t>
        </is>
      </c>
      <c r="I70" s="16" t="inlineStr">
        <is>
          <t>Tạo được cả 2 kiểu thẻ, số thẻ TPB… và TPBDK…</t>
        </is>
      </c>
      <c r="J70" s="16" t="inlineStr">
        <is>
          <t>Cao</t>
        </is>
      </c>
      <c r="K70" s="17" t="n"/>
      <c r="L70" s="17" t="inlineStr">
        <is>
          <t>Chưa test</t>
        </is>
      </c>
      <c r="M70" s="17" t="n"/>
      <c r="N70" s="18" t="n"/>
      <c r="O70" s="17" t="n"/>
    </row>
    <row r="71">
      <c r="A71" s="16" t="inlineStr">
        <is>
          <t>A-PB-003</t>
        </is>
      </c>
      <c r="B71" s="16" t="inlineStr">
        <is>
          <t>Chi phí phân bổ</t>
        </is>
      </c>
      <c r="C71" s="16" t="inlineStr">
        <is>
          <t>Thêm thẻ</t>
        </is>
      </c>
      <c r="D71" s="16" t="inlineStr">
        <is>
          <t>Chi phí phân bổ › +</t>
        </is>
      </c>
      <c r="E71" s="16" t="inlineStr">
        <is>
          <t>Ràng buộc</t>
        </is>
      </c>
      <c r="F71" s="16" t="inlineStr">
        <is>
          <t>Kiểm tra khi lưu</t>
        </is>
      </c>
      <c r="G71" s="16" t="inlineStr">
        <is>
          <t>App điện thoại (màn rộng dưới 768px), đơn vị Phố Mây gói Standard, hộ kinh doanh TT152</t>
        </is>
      </c>
      <c r="H71" s="16" t="inlineStr">
        <is>
          <t>1. Bỏ trống tên
2. Số tiền 0
3. Số tháng phân bổ 0
4. Thẻ dư đầu kỳ: số tháng đã phân bổ ≥ số tháng phân bổ
5. Ngày ghi tăng trước đầu năm</t>
        </is>
      </c>
      <c r="I71" s="16" t="inlineStr">
        <is>
          <t>Báo 'Vui lòng nhập tên mục chi phí / CCDC', 'Số tiền phải lớn hơn 0', 'Số tháng phân bổ phải lớn hơn 0', 'Số tháng đã phân bổ phải nhỏ hơn số tháng phân bổ', lỗi ngày</t>
        </is>
      </c>
      <c r="J71" s="16" t="inlineStr">
        <is>
          <t>Cao</t>
        </is>
      </c>
      <c r="K71" s="17" t="n"/>
      <c r="L71" s="17" t="inlineStr">
        <is>
          <t>Chưa test</t>
        </is>
      </c>
      <c r="M71" s="17" t="n"/>
      <c r="N71" s="18" t="n"/>
      <c r="O71" s="17" t="n"/>
    </row>
    <row r="72">
      <c r="A72" s="16" t="inlineStr">
        <is>
          <t>A-PB-004</t>
        </is>
      </c>
      <c r="B72" s="16" t="inlineStr">
        <is>
          <t>Chi phí phân bổ</t>
        </is>
      </c>
      <c r="C72" s="16" t="inlineStr">
        <is>
          <t>Xem thẻ</t>
        </is>
      </c>
      <c r="D72" s="16" t="inlineStr">
        <is>
          <t>Chi phí phân bổ › bấm thẻ</t>
        </is>
      </c>
      <c r="E72" s="16" t="inlineStr">
        <is>
          <t>Tích hợp</t>
        </is>
      </c>
      <c r="F72" s="16" t="inlineStr">
        <is>
          <t>Lịch phân bổ</t>
        </is>
      </c>
      <c r="G72" s="16" t="inlineStr">
        <is>
          <t>App điện thoại (màn rộng dưới 768px), đơn vị Phố Mây gói Standard, hộ kinh doanh TT152</t>
        </is>
      </c>
      <c r="H72" s="16" t="inlineStr">
        <is>
          <t>1. Thẻ 10.000.000, 3 tháng
2. Mở tab Lịch phân bổ</t>
        </is>
      </c>
      <c r="I72" s="16" t="inlineStr">
        <is>
          <t>3.333.333 / 3.333.333 / 3.333.334, mỗi kỳ ngày cuối tháng; kỳ tới tháng hiện tại Đã phân bổ, kỳ sau Chờ phân bổ</t>
        </is>
      </c>
      <c r="J72" s="16" t="inlineStr">
        <is>
          <t>Cao</t>
        </is>
      </c>
      <c r="K72" s="17" t="n"/>
      <c r="L72" s="17" t="inlineStr">
        <is>
          <t>Chưa test</t>
        </is>
      </c>
      <c r="M72" s="17" t="n"/>
      <c r="N72" s="18" t="n"/>
      <c r="O72" s="17" t="n"/>
    </row>
    <row r="73">
      <c r="A73" s="16" t="inlineStr">
        <is>
          <t>A-PB-005</t>
        </is>
      </c>
      <c r="B73" s="16" t="inlineStr">
        <is>
          <t>Chi phí phân bổ</t>
        </is>
      </c>
      <c r="C73" s="16" t="inlineStr">
        <is>
          <t>Sửa thẻ</t>
        </is>
      </c>
      <c r="D73" s="16" t="inlineStr">
        <is>
          <t>Xem thẻ › Sửa</t>
        </is>
      </c>
      <c r="E73" s="16" t="inlineStr">
        <is>
          <t>Ràng buộc</t>
        </is>
      </c>
      <c r="F73" s="16" t="inlineStr">
        <is>
          <t>Sửa lịch phân bổ</t>
        </is>
      </c>
      <c r="G73" s="16" t="inlineStr">
        <is>
          <t>App điện thoại (màn rộng dưới 768px), đơn vị Phố Mây gói Standard, hộ kinh doanh TT152</t>
        </is>
      </c>
      <c r="H73" s="16" t="inlineStr">
        <is>
          <t>1. Sửa số tiền một kỳ cho tổng lệch
2. Lưu</t>
        </is>
      </c>
      <c r="I73" s="16" t="inlineStr">
        <is>
          <t>Không thêm, không xoá dòng. Tổng lệch thì hỏi 'Tổng phân bổ không khớp' và có Điều chỉnh</t>
        </is>
      </c>
      <c r="J73" s="16" t="inlineStr">
        <is>
          <t>Trung bình</t>
        </is>
      </c>
      <c r="K73" s="17" t="n"/>
      <c r="L73" s="17" t="inlineStr">
        <is>
          <t>Chưa test</t>
        </is>
      </c>
      <c r="M73" s="17" t="n"/>
      <c r="N73" s="18" t="n"/>
      <c r="O73" s="17" t="n"/>
    </row>
    <row r="74">
      <c r="A74" s="16" t="inlineStr">
        <is>
          <t>A-PB-006</t>
        </is>
      </c>
      <c r="B74" s="16" t="inlineStr">
        <is>
          <t>Chi phí phân bổ</t>
        </is>
      </c>
      <c r="C74" s="16" t="inlineStr">
        <is>
          <t>Xem thẻ</t>
        </is>
      </c>
      <c r="D74" s="16" t="inlineStr">
        <is>
          <t>Chi phí phân bổ › bấm thẻ</t>
        </is>
      </c>
      <c r="E74" s="16" t="inlineStr">
        <is>
          <t>Ràng buộc</t>
        </is>
      </c>
      <c r="F74" s="16" t="inlineStr">
        <is>
          <t>Sao chép, xoá thẻ</t>
        </is>
      </c>
      <c r="G74" s="16" t="inlineStr">
        <is>
          <t>App điện thoại (màn rộng dưới 768px), đơn vị Phố Mây gói Standard, hộ kinh doanh TT152</t>
        </is>
      </c>
      <c r="H74" s="16" t="inlineStr">
        <is>
          <t>1. Sao chép thẻ
2. Xoá thẻ có tháng bắt đầu trong kỳ đã khoá
3. Xoá thẻ chưa khoá</t>
        </is>
      </c>
      <c r="I74" s="16" t="inlineStr">
        <is>
          <t>Sao chép mở form mới; bước 2 chặn xoá; bước 3 xoá được</t>
        </is>
      </c>
      <c r="J74" s="16" t="inlineStr">
        <is>
          <t>Cao</t>
        </is>
      </c>
      <c r="K74" s="17" t="n"/>
      <c r="L74" s="17" t="inlineStr">
        <is>
          <t>Chưa test</t>
        </is>
      </c>
      <c r="M74" s="17" t="n"/>
      <c r="N74" s="18" t="n"/>
      <c r="O74" s="17" t="n"/>
    </row>
    <row r="75">
      <c r="A75" s="16" t="inlineStr">
        <is>
          <t>A-TH-001</t>
        </is>
      </c>
      <c r="B75" s="16" t="inlineStr">
        <is>
          <t>Kê khai thuế</t>
        </is>
      </c>
      <c r="C75" s="16" t="inlineStr">
        <is>
          <t>Danh sách tờ khai</t>
        </is>
      </c>
      <c r="D75" s="16" t="inlineStr">
        <is>
          <t>Nghiệp vụ › Kê khai thuế hoặc Thao tác nhanh</t>
        </is>
      </c>
      <c r="E75" s="16" t="inlineStr">
        <is>
          <t>Chức năng</t>
        </is>
      </c>
      <c r="F75" s="16" t="inlineStr">
        <is>
          <t>Danh sách, lọc</t>
        </is>
      </c>
      <c r="G75" s="16" t="inlineStr">
        <is>
          <t>App điện thoại, HKD nhóm 1 hoặc nhóm 2 theo % doanh thu</t>
        </is>
      </c>
      <c r="H75" s="16" t="inlineStr">
        <is>
          <t>1. Mở Kê khai thuế
2. Lọc bằng nút phễu, chip</t>
        </is>
      </c>
      <c r="I75" s="16" t="inlineStr">
        <is>
          <t>Danh sách tờ khai lọc đúng năm, loại, trạng thái</t>
        </is>
      </c>
      <c r="J75" s="16" t="inlineStr">
        <is>
          <t>Trung bình</t>
        </is>
      </c>
      <c r="K75" s="17" t="n"/>
      <c r="L75" s="17" t="inlineStr">
        <is>
          <t>Chưa test</t>
        </is>
      </c>
      <c r="M75" s="17" t="n"/>
      <c r="N75" s="18" t="n"/>
      <c r="O75" s="17" t="n"/>
    </row>
    <row r="76">
      <c r="A76" s="16" t="inlineStr">
        <is>
          <t>A-TH-002</t>
        </is>
      </c>
      <c r="B76" s="16" t="inlineStr">
        <is>
          <t>Kê khai thuế</t>
        </is>
      </c>
      <c r="C76" s="16" t="inlineStr">
        <is>
          <t>Lập tờ khai</t>
        </is>
      </c>
      <c r="D76" s="16" t="inlineStr">
        <is>
          <t>Kê khai thuế › nút nổi</t>
        </is>
      </c>
      <c r="E76" s="16" t="inlineStr">
        <is>
          <t>Chức năng</t>
        </is>
      </c>
      <c r="F76" s="16" t="inlineStr">
        <is>
          <t>Tờ khai 4 bước</t>
        </is>
      </c>
      <c r="G76" s="16" t="inlineStr">
        <is>
          <t>App điện thoại, HKD nhóm 1 hoặc nhóm 2 theo % doanh thu</t>
        </is>
      </c>
      <c r="H76" s="16" t="inlineStr">
        <is>
          <t>1. Bấm Lập tờ khai, chọn kỳ
2. Đi qua 4 bước
3. Tải XML
4. Ghi nhận Đã nộp</t>
        </is>
      </c>
      <c r="I76" s="16" t="inlineStr">
        <is>
          <t>Số liệu doanh thu, GTGT, TNCN khớp bản web cùng kỳ; tải được XML; trạng thái Đã nộp</t>
        </is>
      </c>
      <c r="J76" s="16" t="inlineStr">
        <is>
          <t>Cao</t>
        </is>
      </c>
      <c r="K76" s="17" t="n"/>
      <c r="L76" s="17" t="inlineStr">
        <is>
          <t>Chưa test</t>
        </is>
      </c>
      <c r="M76" s="17" t="n"/>
      <c r="N76" s="18" t="n"/>
      <c r="O76" s="17" t="n"/>
    </row>
    <row r="77">
      <c r="A77" s="16" t="inlineStr">
        <is>
          <t>A-TH-003</t>
        </is>
      </c>
      <c r="B77" s="16" t="inlineStr">
        <is>
          <t>Kê khai thuế</t>
        </is>
      </c>
      <c r="C77" s="16" t="inlineStr">
        <is>
          <t>Lập tờ khai</t>
        </is>
      </c>
      <c r="D77" s="16" t="inlineStr">
        <is>
          <t>Kê khai thuế › nút nổi</t>
        </is>
      </c>
      <c r="E77" s="16" t="inlineStr">
        <is>
          <t>Ràng buộc</t>
        </is>
      </c>
      <c r="F77" s="16" t="inlineStr">
        <is>
          <t>Kỳ đã có tờ khai</t>
        </is>
      </c>
      <c r="G77" s="16" t="inlineStr">
        <is>
          <t>App điện thoại, HKD nhóm 1 hoặc nhóm 2 theo % doanh thu</t>
        </is>
      </c>
      <c r="H77" s="16" t="inlineStr">
        <is>
          <t>1. Lập thêm tờ khai cho kỳ đã có</t>
        </is>
      </c>
      <c r="I77" s="16" t="inlineStr">
        <is>
          <t>Thành tờ khai bổ sung lần kế</t>
        </is>
      </c>
      <c r="J77" s="16" t="inlineStr">
        <is>
          <t>Trung bình</t>
        </is>
      </c>
      <c r="K77" s="17" t="n"/>
      <c r="L77" s="17" t="inlineStr">
        <is>
          <t>Chưa test</t>
        </is>
      </c>
      <c r="M77" s="17" t="n"/>
      <c r="N77" s="18" t="n"/>
      <c r="O77" s="17" t="n"/>
    </row>
    <row r="78">
      <c r="A78" s="16" t="inlineStr">
        <is>
          <t>A-TH-004</t>
        </is>
      </c>
      <c r="B78" s="16" t="inlineStr">
        <is>
          <t>Kê khai thuế</t>
        </is>
      </c>
      <c r="C78" s="16" t="inlineStr">
        <is>
          <t>Báo cáo theo dõi thuế</t>
        </is>
      </c>
      <c r="D78" s="16" t="inlineStr">
        <is>
          <t>Kê khai thuế</t>
        </is>
      </c>
      <c r="E78" s="16" t="inlineStr">
        <is>
          <t>Hiển thị</t>
        </is>
      </c>
      <c r="F78" s="16" t="inlineStr">
        <is>
          <t>Báo cáo theo dõi</t>
        </is>
      </c>
      <c r="G78" s="16" t="inlineStr">
        <is>
          <t>App điện thoại, HKD nhóm 1 hoặc nhóm 2 theo % doanh thu</t>
        </is>
      </c>
      <c r="H78" s="16" t="inlineStr">
        <is>
          <t>1. Mở Báo cáo theo dõi</t>
        </is>
      </c>
      <c r="I78" s="16" t="inlineStr">
        <is>
          <t>Hiện đúng, chỉ báo cáo của gói Standard</t>
        </is>
      </c>
      <c r="J78" s="16" t="inlineStr">
        <is>
          <t>Thấp</t>
        </is>
      </c>
      <c r="K78" s="17" t="n"/>
      <c r="L78" s="17" t="inlineStr">
        <is>
          <t>Chưa test</t>
        </is>
      </c>
      <c r="M78" s="17" t="n"/>
      <c r="N78" s="18" t="n"/>
      <c r="O78" s="17" t="n"/>
    </row>
    <row r="79">
      <c r="A79" s="16" t="inlineStr">
        <is>
          <t>A-BC-001</t>
        </is>
      </c>
      <c r="B79" s="16" t="inlineStr">
        <is>
          <t>Báo cáo</t>
        </is>
      </c>
      <c r="C79" s="16" t="inlineStr">
        <is>
          <t>Tab Báo cáo</t>
        </is>
      </c>
      <c r="D79" s="16" t="inlineStr">
        <is>
          <t>Tab Báo cáo</t>
        </is>
      </c>
      <c r="E79" s="16" t="inlineStr">
        <is>
          <t>Hiển thị</t>
        </is>
      </c>
      <c r="F79" s="16" t="inlineStr">
        <is>
          <t>Danh sách báo cáo gói Standard</t>
        </is>
      </c>
      <c r="G79" s="16" t="inlineStr">
        <is>
          <t>App điện thoại (màn rộng dưới 768px), đơn vị Phố Mây gói Standard, hộ kinh doanh TT152</t>
        </is>
      </c>
      <c r="H79" s="16" t="inlineStr">
        <is>
          <t>1. Mở tab Báo cáo
2. Xem các nhóm</t>
        </is>
      </c>
      <c r="I79" s="16" t="inlineStr">
        <is>
          <t>Chỉ có báo cáo của gói: Sổ quỹ 2.2.1, Sổ ngân hàng 2.2.3, Tổng hợp bán hàng, Bảng kê chi tiết bán hàng, Sổ doanh thu 3.2.5 (theo chế độ), Bảng kê mua hàng 4.2.7, Công nợ NCC 4.2.3, Xuất nhập tồn 5.2.3, 5.2.9, 5.2.10, Báo cáo kiểm kê 5.2.15, KQKD 10.2.3. Không có nhóm Thuế; Thẻ kho không có trong danh sách. Đối chiếu với danh sách web</t>
        </is>
      </c>
      <c r="J79" s="16" t="inlineStr">
        <is>
          <t>Cao</t>
        </is>
      </c>
      <c r="K79" s="17" t="n"/>
      <c r="L79" s="17" t="inlineStr">
        <is>
          <t>Chưa test</t>
        </is>
      </c>
      <c r="M79" s="17" t="n"/>
      <c r="N79" s="18" t="n"/>
      <c r="O79" s="17" t="n"/>
    </row>
    <row r="80">
      <c r="A80" s="16" t="inlineStr">
        <is>
          <t>A-BC-002</t>
        </is>
      </c>
      <c r="B80" s="16" t="inlineStr">
        <is>
          <t>Báo cáo</t>
        </is>
      </c>
      <c r="C80" s="16" t="inlineStr">
        <is>
          <t>Tab Báo cáo</t>
        </is>
      </c>
      <c r="D80" s="16" t="inlineStr">
        <is>
          <t>Tab Báo cáo</t>
        </is>
      </c>
      <c r="E80" s="16" t="inlineStr">
        <is>
          <t>Chức năng</t>
        </is>
      </c>
      <c r="F80" s="16" t="inlineStr">
        <is>
          <t>Tìm, Gần đây, Ghim</t>
        </is>
      </c>
      <c r="G80" s="16" t="inlineStr">
        <is>
          <t>App điện thoại (màn rộng dưới 768px), đơn vị Phố Mây gói Standard, hộ kinh doanh TT152</t>
        </is>
      </c>
      <c r="H80" s="16" t="inlineStr">
        <is>
          <t>1. Tìm 'cong no'
2. Mở một báo cáo rồi quay lại
3. Nhấn giữ một báo cáo để ghim</t>
        </is>
      </c>
      <c r="I80" s="16" t="inlineStr">
        <is>
          <t>Tìm không dấu ra đúng; báo cáo vừa mở lên mục Gần đây; ghim xong có trong mục Ghim</t>
        </is>
      </c>
      <c r="J80" s="16" t="inlineStr">
        <is>
          <t>Trung bình</t>
        </is>
      </c>
      <c r="K80" s="17" t="n"/>
      <c r="L80" s="17" t="inlineStr">
        <is>
          <t>Chưa test</t>
        </is>
      </c>
      <c r="M80" s="17" t="n"/>
      <c r="N80" s="18" t="n"/>
      <c r="O80" s="17" t="n"/>
    </row>
    <row r="81">
      <c r="A81" s="16" t="inlineStr">
        <is>
          <t>A-BC-003</t>
        </is>
      </c>
      <c r="B81" s="16" t="inlineStr">
        <is>
          <t>Báo cáo</t>
        </is>
      </c>
      <c r="C81" s="16" t="inlineStr">
        <is>
          <t>Bộ lọc báo cáo</t>
        </is>
      </c>
      <c r="D81" s="16" t="inlineStr">
        <is>
          <t>Mở một báo cáo</t>
        </is>
      </c>
      <c r="E81" s="16" t="inlineStr">
        <is>
          <t>Chức năng</t>
        </is>
      </c>
      <c r="F81" s="16" t="inlineStr">
        <is>
          <t>Bộ lọc bật trước khi xem</t>
        </is>
      </c>
      <c r="G81" s="16" t="inlineStr">
        <is>
          <t>App điện thoại (màn rộng dưới 768px), đơn vị Phố Mây gói Standard, hộ kinh doanh TT152</t>
        </is>
      </c>
      <c r="H81" s="16" t="inlineStr">
        <is>
          <t>1. Mở một báo cáo
2. Đổi Kỳ, Cửa hàng, Từ ngày–Đến ngày
3. Bấm Áp dụng</t>
        </is>
      </c>
      <c r="I81" s="16" t="inlineStr">
        <is>
          <t>Bộ lọc mở trước, bấm Áp dụng mới tải số liệu; số liệu đúng kỳ, cửa hàng đã chọn</t>
        </is>
      </c>
      <c r="J81" s="16" t="inlineStr">
        <is>
          <t>Cao</t>
        </is>
      </c>
      <c r="K81" s="17" t="n"/>
      <c r="L81" s="17" t="inlineStr">
        <is>
          <t>Chưa test</t>
        </is>
      </c>
      <c r="M81" s="17" t="n"/>
      <c r="N81" s="18" t="n"/>
      <c r="O81" s="17" t="n"/>
    </row>
    <row r="82">
      <c r="A82" s="16" t="inlineStr">
        <is>
          <t>A-BC-004</t>
        </is>
      </c>
      <c r="B82" s="16" t="inlineStr">
        <is>
          <t>Báo cáo</t>
        </is>
      </c>
      <c r="C82" s="16" t="inlineStr">
        <is>
          <t>Bộ lọc báo cáo</t>
        </is>
      </c>
      <c r="D82" s="16" t="inlineStr">
        <is>
          <t>Mở một báo cáo</t>
        </is>
      </c>
      <c r="E82" s="16" t="inlineStr">
        <is>
          <t>Ràng buộc</t>
        </is>
      </c>
      <c r="F82" s="16" t="inlineStr">
        <is>
          <t>Giới hạn ngày</t>
        </is>
      </c>
      <c r="G82" s="16" t="inlineStr">
        <is>
          <t>App điện thoại (màn rộng dưới 768px), đơn vị Phố Mây gói Standard, hộ kinh doanh TT152</t>
        </is>
      </c>
      <c r="H82" s="16" t="inlineStr">
        <is>
          <t>1. Chọn Từ ngày 05/10
2. Chọn Đến ngày sang tháng 11</t>
        </is>
      </c>
      <c r="I82" s="16" t="inlineStr">
        <is>
          <t>Đến ngày không vượt cuối tháng của Từ ngày</t>
        </is>
      </c>
      <c r="J82" s="16" t="inlineStr">
        <is>
          <t>Trung bình</t>
        </is>
      </c>
      <c r="K82" s="17" t="n"/>
      <c r="L82" s="17" t="inlineStr">
        <is>
          <t>Chưa test</t>
        </is>
      </c>
      <c r="M82" s="17" t="n"/>
      <c r="N82" s="18" t="n"/>
      <c r="O82" s="17" t="n"/>
    </row>
    <row r="83">
      <c r="A83" s="16" t="inlineStr">
        <is>
          <t>A-BC-005</t>
        </is>
      </c>
      <c r="B83" s="16" t="inlineStr">
        <is>
          <t>Báo cáo</t>
        </is>
      </c>
      <c r="C83" s="16" t="inlineStr">
        <is>
          <t>Đầu báo cáo</t>
        </is>
      </c>
      <c r="D83" s="16" t="inlineStr">
        <is>
          <t>Mở một báo cáo</t>
        </is>
      </c>
      <c r="E83" s="16" t="inlineStr">
        <is>
          <t>Chức năng</t>
        </is>
      </c>
      <c r="F83" s="16" t="inlineStr">
        <is>
          <t>Thanh đầu báo cáo</t>
        </is>
      </c>
      <c r="G83" s="16" t="inlineStr">
        <is>
          <t>App điện thoại (màn rộng dưới 768px), đơn vị Phố Mây gói Standard, hộ kinh doanh TT152</t>
        </is>
      </c>
      <c r="H83" s="16" t="inlineStr">
        <is>
          <t>1. Bấm Tìm kiếm phát sinh, gõ số phiếu
2. Bấm Ghim
3. Bấm Quay lại</t>
        </is>
      </c>
      <c r="I83" s="16" t="inlineStr">
        <is>
          <t>Lọc dòng phát sinh đúng; ghim được; quay về tab Báo cáo</t>
        </is>
      </c>
      <c r="J83" s="16" t="inlineStr">
        <is>
          <t>Trung bình</t>
        </is>
      </c>
      <c r="K83" s="17" t="n"/>
      <c r="L83" s="17" t="inlineStr">
        <is>
          <t>Chưa test</t>
        </is>
      </c>
      <c r="M83" s="17" t="n"/>
      <c r="N83" s="18" t="n"/>
      <c r="O83" s="17" t="n"/>
    </row>
    <row r="84">
      <c r="A84" s="16" t="inlineStr">
        <is>
          <t>A-BC-006</t>
        </is>
      </c>
      <c r="B84" s="16" t="inlineStr">
        <is>
          <t>Báo cáo</t>
        </is>
      </c>
      <c r="C84" s="16" t="inlineStr">
        <is>
          <t>Sổ dạng bảng</t>
        </is>
      </c>
      <c r="D84" s="16" t="inlineStr">
        <is>
          <t>Sổ quỹ, Sổ ngân hàng, Bảng kê…</t>
        </is>
      </c>
      <c r="E84" s="16" t="inlineStr">
        <is>
          <t>Chức năng</t>
        </is>
      </c>
      <c r="F84" s="16" t="inlineStr">
        <is>
          <t>Tải Excel, xoay màn, mở chứng từ</t>
        </is>
      </c>
      <c r="G84" s="16" t="inlineStr">
        <is>
          <t>App điện thoại (màn rộng dưới 768px), đơn vị Phố Mây gói Standard, hộ kinh doanh TT152</t>
        </is>
      </c>
      <c r="H84" s="16" t="inlineStr">
        <is>
          <t>1. Mở Sổ quỹ tiền mặt
2. Bấm Tải file Excel
3. Bấm Xoay màn hình
4. Bấm số chứng từ</t>
        </is>
      </c>
      <c r="I84" s="16" t="inlineStr">
        <is>
          <t>Tải được file đúng số liệu; xoay ngang xem đủ cột; số chứng từ mở xem phiếu</t>
        </is>
      </c>
      <c r="J84" s="16" t="inlineStr">
        <is>
          <t>Cao</t>
        </is>
      </c>
      <c r="K84" s="17" t="n"/>
      <c r="L84" s="17" t="inlineStr">
        <is>
          <t>Chưa test</t>
        </is>
      </c>
      <c r="M84" s="17" t="n"/>
      <c r="N84" s="18" t="n"/>
      <c r="O84" s="17" t="n"/>
    </row>
    <row r="85">
      <c r="A85" s="16" t="inlineStr">
        <is>
          <t>A-BC-007</t>
        </is>
      </c>
      <c r="B85" s="16" t="inlineStr">
        <is>
          <t>Báo cáo</t>
        </is>
      </c>
      <c r="C85" s="16" t="inlineStr">
        <is>
          <t>Sổ quỹ tiền mặt 2.2.1</t>
        </is>
      </c>
      <c r="D85" s="16" t="inlineStr">
        <is>
          <t>Tab Báo cáo</t>
        </is>
      </c>
      <c r="E85" s="16" t="inlineStr">
        <is>
          <t>Tích hợp</t>
        </is>
      </c>
      <c r="F85" s="16" t="inlineStr">
        <is>
          <t>Sổ quỹ khớp web</t>
        </is>
      </c>
      <c r="G85" s="16" t="inlineStr">
        <is>
          <t>App điện thoại (màn rộng dưới 768px), đơn vị Phố Mây gói Standard, hộ kinh doanh TT152</t>
        </is>
      </c>
      <c r="H85" s="16" t="inlineStr">
        <is>
          <t>1. Mở sổ tháng 10, cửa hàng A
2. So với web</t>
        </is>
      </c>
      <c r="I85" s="16" t="inlineStr">
        <is>
          <t>Tồn đầu, thu, chi, tồn cuối và từng dòng khớp web</t>
        </is>
      </c>
      <c r="J85" s="16" t="inlineStr">
        <is>
          <t>Cao</t>
        </is>
      </c>
      <c r="K85" s="17" t="n"/>
      <c r="L85" s="17" t="inlineStr">
        <is>
          <t>Chưa test</t>
        </is>
      </c>
      <c r="M85" s="17" t="n"/>
      <c r="N85" s="18" t="n"/>
      <c r="O85" s="17" t="n"/>
    </row>
    <row r="86">
      <c r="A86" s="16" t="inlineStr">
        <is>
          <t>A-BC-008</t>
        </is>
      </c>
      <c r="B86" s="16" t="inlineStr">
        <is>
          <t>Báo cáo</t>
        </is>
      </c>
      <c r="C86" s="16" t="inlineStr">
        <is>
          <t>Sổ ngân hàng 2.2.3</t>
        </is>
      </c>
      <c r="D86" s="16" t="inlineStr">
        <is>
          <t>Tab Báo cáo</t>
        </is>
      </c>
      <c r="E86" s="16" t="inlineStr">
        <is>
          <t>Tích hợp</t>
        </is>
      </c>
      <c r="F86" s="16" t="inlineStr">
        <is>
          <t>Sổ ngân hàng khớp web</t>
        </is>
      </c>
      <c r="G86" s="16" t="inlineStr">
        <is>
          <t>App điện thoại (màn rộng dưới 768px), đơn vị Phố Mây gói Standard, hộ kinh doanh TT152</t>
        </is>
      </c>
      <c r="H86" s="16" t="inlineStr">
        <is>
          <t>1. Mở sổ tháng 10
2. So với web</t>
        </is>
      </c>
      <c r="I86" s="16" t="inlineStr">
        <is>
          <t>Khớp web</t>
        </is>
      </c>
      <c r="J86" s="16" t="inlineStr">
        <is>
          <t>Trung bình</t>
        </is>
      </c>
      <c r="K86" s="17" t="n"/>
      <c r="L86" s="17" t="inlineStr">
        <is>
          <t>Chưa test</t>
        </is>
      </c>
      <c r="M86" s="17" t="n"/>
      <c r="N86" s="18" t="n"/>
      <c r="O86" s="17" t="n"/>
    </row>
    <row r="87">
      <c r="A87" s="16" t="inlineStr">
        <is>
          <t>A-BC-009</t>
        </is>
      </c>
      <c r="B87" s="16" t="inlineStr">
        <is>
          <t>Báo cáo</t>
        </is>
      </c>
      <c r="C87" s="16" t="inlineStr">
        <is>
          <t>Tổng hợp bán hàng</t>
        </is>
      </c>
      <c r="D87" s="16" t="inlineStr">
        <is>
          <t>Tab Báo cáo</t>
        </is>
      </c>
      <c r="E87" s="16" t="inlineStr">
        <is>
          <t>Tích hợp</t>
        </is>
      </c>
      <c r="F87" s="16" t="inlineStr">
        <is>
          <t>Tổng hợp bán hàng khớp web</t>
        </is>
      </c>
      <c r="G87" s="16" t="inlineStr">
        <is>
          <t>App điện thoại (màn rộng dưới 768px), đơn vị Phố Mây gói Standard, hộ kinh doanh TT152</t>
        </is>
      </c>
      <c r="H87" s="16" t="inlineStr">
        <is>
          <t>1. Mở báo cáo tháng 10
2. So với web</t>
        </is>
      </c>
      <c r="I87" s="16" t="inlineStr">
        <is>
          <t>Khớp web; khớp tổng Xuất bán POS</t>
        </is>
      </c>
      <c r="J87" s="16" t="inlineStr">
        <is>
          <t>Trung bình</t>
        </is>
      </c>
      <c r="K87" s="17" t="n"/>
      <c r="L87" s="17" t="inlineStr">
        <is>
          <t>Chưa test</t>
        </is>
      </c>
      <c r="M87" s="17" t="n"/>
      <c r="N87" s="18" t="n"/>
      <c r="O87" s="17" t="n"/>
    </row>
    <row r="88">
      <c r="A88" s="16" t="inlineStr">
        <is>
          <t>A-BC-010</t>
        </is>
      </c>
      <c r="B88" s="16" t="inlineStr">
        <is>
          <t>Báo cáo</t>
        </is>
      </c>
      <c r="C88" s="16" t="inlineStr">
        <is>
          <t>Bảng kê chi tiết bán hàng</t>
        </is>
      </c>
      <c r="D88" s="16" t="inlineStr">
        <is>
          <t>Tab Báo cáo</t>
        </is>
      </c>
      <c r="E88" s="16" t="inlineStr">
        <is>
          <t>Tích hợp</t>
        </is>
      </c>
      <c r="F88" s="16" t="inlineStr">
        <is>
          <t>Bảng kê bán hàng khớp web</t>
        </is>
      </c>
      <c r="G88" s="16" t="inlineStr">
        <is>
          <t>App điện thoại (màn rộng dưới 768px), đơn vị Phố Mây gói Standard, hộ kinh doanh TT152</t>
        </is>
      </c>
      <c r="H88" s="16" t="inlineStr">
        <is>
          <t>1. Mở báo cáo
2. So với web</t>
        </is>
      </c>
      <c r="I88" s="16" t="inlineStr">
        <is>
          <t>Khớp web</t>
        </is>
      </c>
      <c r="J88" s="16" t="inlineStr">
        <is>
          <t>Thấp</t>
        </is>
      </c>
      <c r="K88" s="17" t="n"/>
      <c r="L88" s="17" t="inlineStr">
        <is>
          <t>Chưa test</t>
        </is>
      </c>
      <c r="M88" s="17" t="n"/>
      <c r="N88" s="18" t="n"/>
      <c r="O88" s="17" t="n"/>
    </row>
    <row r="89">
      <c r="A89" s="16" t="inlineStr">
        <is>
          <t>A-BC-011</t>
        </is>
      </c>
      <c r="B89" s="16" t="inlineStr">
        <is>
          <t>Báo cáo</t>
        </is>
      </c>
      <c r="C89" s="16" t="inlineStr">
        <is>
          <t>Sổ doanh thu 3.2.5</t>
        </is>
      </c>
      <c r="D89" s="16" t="inlineStr">
        <is>
          <t>Tab Báo cáo</t>
        </is>
      </c>
      <c r="E89" s="16" t="inlineStr">
        <is>
          <t>Ràng buộc</t>
        </is>
      </c>
      <c r="F89" s="16" t="inlineStr">
        <is>
          <t>Mẫu sổ theo chế độ</t>
        </is>
      </c>
      <c r="G89" s="16" t="inlineStr">
        <is>
          <t>App điện thoại (màn rộng dưới 768px), đơn vị Phố Mây gói Standard, hộ kinh doanh TT152</t>
        </is>
      </c>
      <c r="H89" s="16" t="inlineStr">
        <is>
          <t>1. HKD nhóm 1
2. HKD theo % doanh thu
3. HKD theo lợi nhuận
4. Doanh nghiệp TT58</t>
        </is>
      </c>
      <c r="I89" s="16" t="inlineStr">
        <is>
          <t>S1a-HKD (không có Tải Excel); S2a-HKD; không có sổ; S1-DNSN</t>
        </is>
      </c>
      <c r="J89" s="16" t="inlineStr">
        <is>
          <t>Cao</t>
        </is>
      </c>
      <c r="K89" s="17" t="n"/>
      <c r="L89" s="17" t="inlineStr">
        <is>
          <t>Chưa test</t>
        </is>
      </c>
      <c r="M89" s="17" t="n"/>
      <c r="N89" s="18" t="n"/>
      <c r="O89" s="17" t="n"/>
    </row>
    <row r="90">
      <c r="A90" s="16" t="inlineStr">
        <is>
          <t>A-BC-012</t>
        </is>
      </c>
      <c r="B90" s="16" t="inlineStr">
        <is>
          <t>Báo cáo</t>
        </is>
      </c>
      <c r="C90" s="16" t="inlineStr">
        <is>
          <t>Bảng kê mua hàng 4.2.7</t>
        </is>
      </c>
      <c r="D90" s="16" t="inlineStr">
        <is>
          <t>Tab Báo cáo</t>
        </is>
      </c>
      <c r="E90" s="16" t="inlineStr">
        <is>
          <t>Tích hợp</t>
        </is>
      </c>
      <c r="F90" s="16" t="inlineStr">
        <is>
          <t>Bảng kê mua hàng</t>
        </is>
      </c>
      <c r="G90" s="16" t="inlineStr">
        <is>
          <t>App điện thoại (màn rộng dưới 768px), đơn vị Phố Mây gói Standard, hộ kinh doanh TT152</t>
        </is>
      </c>
      <c r="H90" s="16" t="inlineStr">
        <is>
          <t>1. Mở báo cáo
2. So với phiếu 4.1.1</t>
        </is>
      </c>
      <c r="I90" s="16" t="inlineStr">
        <is>
          <t>Mỗi mặt hàng của phiếu một dòng, khớp web</t>
        </is>
      </c>
      <c r="J90" s="16" t="inlineStr">
        <is>
          <t>Trung bình</t>
        </is>
      </c>
      <c r="K90" s="17" t="n"/>
      <c r="L90" s="17" t="inlineStr">
        <is>
          <t>Chưa test</t>
        </is>
      </c>
      <c r="M90" s="17" t="n"/>
      <c r="N90" s="18" t="n"/>
      <c r="O90" s="17" t="n"/>
    </row>
    <row r="91">
      <c r="A91" s="16" t="inlineStr">
        <is>
          <t>A-BC-013</t>
        </is>
      </c>
      <c r="B91" s="16" t="inlineStr">
        <is>
          <t>Báo cáo</t>
        </is>
      </c>
      <c r="C91" s="16" t="inlineStr">
        <is>
          <t>Công nợ NCC 4.2.3</t>
        </is>
      </c>
      <c r="D91" s="16" t="inlineStr">
        <is>
          <t>Tab Báo cáo</t>
        </is>
      </c>
      <c r="E91" s="16" t="inlineStr">
        <is>
          <t>Tích hợp</t>
        </is>
      </c>
      <c r="F91" s="16" t="inlineStr">
        <is>
          <t>Công nợ NCC</t>
        </is>
      </c>
      <c r="G91" s="16" t="inlineStr">
        <is>
          <t>App điện thoại (màn rộng dưới 768px), đơn vị Phố Mây gói Standard, hộ kinh doanh TT152</t>
        </is>
      </c>
      <c r="H91" s="16" t="inlineStr">
        <is>
          <t>1. Mở báo cáo
2. Kiểm một NCC
3. Bấm tên NCC</t>
        </is>
      </c>
      <c r="I91" s="16" t="inlineStr">
        <is>
          <t>Nợ đầu + Mua − Trả hàng − Thanh toán = Nợ cuối, khớp web và trang chủ; bấm tên mở lịch sử công nợ</t>
        </is>
      </c>
      <c r="J91" s="16" t="inlineStr">
        <is>
          <t>Cao</t>
        </is>
      </c>
      <c r="K91" s="17" t="n"/>
      <c r="L91" s="17" t="inlineStr">
        <is>
          <t>Chưa test</t>
        </is>
      </c>
      <c r="M91" s="17" t="n"/>
      <c r="N91" s="18" t="n"/>
      <c r="O91" s="17" t="n"/>
    </row>
    <row r="92">
      <c r="A92" s="16" t="inlineStr">
        <is>
          <t>A-BC-014</t>
        </is>
      </c>
      <c r="B92" s="16" t="inlineStr">
        <is>
          <t>Báo cáo</t>
        </is>
      </c>
      <c r="C92" s="16" t="inlineStr">
        <is>
          <t>Xuất nhập tồn 5.2.3</t>
        </is>
      </c>
      <c r="D92" s="16" t="inlineStr">
        <is>
          <t>Tab Báo cáo</t>
        </is>
      </c>
      <c r="E92" s="16" t="inlineStr">
        <is>
          <t>Tích hợp</t>
        </is>
      </c>
      <c r="F92" s="16" t="inlineStr">
        <is>
          <t>Xuất nhập tồn</t>
        </is>
      </c>
      <c r="G92" s="16" t="inlineStr">
        <is>
          <t>App điện thoại (màn rộng dưới 768px), đơn vị Phố Mây gói Standard, hộ kinh doanh TT152</t>
        </is>
      </c>
      <c r="H92" s="16" t="inlineStr">
        <is>
          <t>1. Mở báo cáo, xem dạng dòng rồi chip Bảng
2. Bấm Xem mẫu in
3. Bấm một mặt hàng</t>
        </is>
      </c>
      <c r="I92" s="16" t="inlineStr">
        <is>
          <t>Chỉ số lượng; kho đi theo cửa hàng; bấm hàng mở Thẻ kho 5.2.1 cùng hàng, kho, kỳ</t>
        </is>
      </c>
      <c r="J92" s="16" t="inlineStr">
        <is>
          <t>Cao</t>
        </is>
      </c>
      <c r="K92" s="17" t="n"/>
      <c r="L92" s="17" t="inlineStr">
        <is>
          <t>Chưa test</t>
        </is>
      </c>
      <c r="M92" s="17" t="n"/>
      <c r="N92" s="18" t="n"/>
      <c r="O92" s="17" t="n"/>
    </row>
    <row r="93">
      <c r="A93" s="16" t="inlineStr">
        <is>
          <t>A-BC-015</t>
        </is>
      </c>
      <c r="B93" s="16" t="inlineStr">
        <is>
          <t>Báo cáo</t>
        </is>
      </c>
      <c r="C93" s="16" t="inlineStr">
        <is>
          <t>Tổng hợp, chi tiết nhập kho</t>
        </is>
      </c>
      <c r="D93" s="16" t="inlineStr">
        <is>
          <t>Tab Báo cáo</t>
        </is>
      </c>
      <c r="E93" s="16" t="inlineStr">
        <is>
          <t>Tích hợp</t>
        </is>
      </c>
      <c r="F93" s="16" t="inlineStr">
        <is>
          <t>5.2.9, 5.2.10</t>
        </is>
      </c>
      <c r="G93" s="16" t="inlineStr">
        <is>
          <t>App điện thoại (màn rộng dưới 768px), đơn vị Phố Mây gói Standard, hộ kinh doanh TT152</t>
        </is>
      </c>
      <c r="H93" s="16" t="inlineStr">
        <is>
          <t>1. Mở từng báo cáo
2. So với web</t>
        </is>
      </c>
      <c r="I93" s="16" t="inlineStr">
        <is>
          <t>Khớp web</t>
        </is>
      </c>
      <c r="J93" s="16" t="inlineStr">
        <is>
          <t>Thấp</t>
        </is>
      </c>
      <c r="K93" s="17" t="n"/>
      <c r="L93" s="17" t="inlineStr">
        <is>
          <t>Chưa test</t>
        </is>
      </c>
      <c r="M93" s="17" t="n"/>
      <c r="N93" s="18" t="n"/>
      <c r="O93" s="17" t="n"/>
    </row>
    <row r="94">
      <c r="A94" s="16" t="inlineStr">
        <is>
          <t>A-BC-016</t>
        </is>
      </c>
      <c r="B94" s="16" t="inlineStr">
        <is>
          <t>Báo cáo</t>
        </is>
      </c>
      <c r="C94" s="16" t="inlineStr">
        <is>
          <t>Báo cáo kiểm kê 5.2.15</t>
        </is>
      </c>
      <c r="D94" s="16" t="inlineStr">
        <is>
          <t>Tab Báo cáo</t>
        </is>
      </c>
      <c r="E94" s="16" t="inlineStr">
        <is>
          <t>Tích hợp</t>
        </is>
      </c>
      <c r="F94" s="16" t="inlineStr">
        <is>
          <t>Báo cáo kiểm kê</t>
        </is>
      </c>
      <c r="G94" s="16" t="inlineStr">
        <is>
          <t>App điện thoại (màn rộng dưới 768px), đơn vị Phố Mây gói Standard, hộ kinh doanh TT152</t>
        </is>
      </c>
      <c r="H94" s="16" t="inlineStr">
        <is>
          <t>1. Mở báo cáo tháng có phiếu kiểm kê</t>
        </is>
      </c>
      <c r="I94" s="16" t="inlineStr">
        <is>
          <t>Thiếu, thừa theo số lượng khớp phiếu và khối Hao hụt trang chủ</t>
        </is>
      </c>
      <c r="J94" s="16" t="inlineStr">
        <is>
          <t>Trung bình</t>
        </is>
      </c>
      <c r="K94" s="17" t="n"/>
      <c r="L94" s="17" t="inlineStr">
        <is>
          <t>Chưa test</t>
        </is>
      </c>
      <c r="M94" s="17" t="n"/>
      <c r="N94" s="18" t="n"/>
      <c r="O94" s="17" t="n"/>
    </row>
    <row r="95">
      <c r="A95" s="16" t="inlineStr">
        <is>
          <t>A-BC-017</t>
        </is>
      </c>
      <c r="B95" s="16" t="inlineStr">
        <is>
          <t>Báo cáo</t>
        </is>
      </c>
      <c r="C95" s="16" t="inlineStr">
        <is>
          <t>KQKD 10.2.3</t>
        </is>
      </c>
      <c r="D95" s="16" t="inlineStr">
        <is>
          <t>Tab Báo cáo hoặc Trang chủ</t>
        </is>
      </c>
      <c r="E95" s="16" t="inlineStr">
        <is>
          <t>Tích hợp</t>
        </is>
      </c>
      <c r="F95" s="16" t="inlineStr">
        <is>
          <t>KQKD đơn giản</t>
        </is>
      </c>
      <c r="G95" s="16" t="inlineStr">
        <is>
          <t>App điện thoại (màn rộng dưới 768px), đơn vị Phố Mây gói Standard, hộ kinh doanh TT152</t>
        </is>
      </c>
      <c r="H95" s="16" t="inlineStr">
        <is>
          <t>1. Mở báo cáo tháng 10, cửa hàng A
2. Xem mẫu in</t>
        </is>
      </c>
      <c r="I95" s="16" t="inlineStr">
        <is>
          <t>Bản lãi lỗ đơn giản, không theo B02; khớp trang chủ app và web</t>
        </is>
      </c>
      <c r="J95" s="16" t="inlineStr">
        <is>
          <t>Cao</t>
        </is>
      </c>
      <c r="K95" s="17" t="n"/>
      <c r="L95" s="17" t="inlineStr">
        <is>
          <t>Chưa test</t>
        </is>
      </c>
      <c r="M95" s="17" t="n"/>
      <c r="N95" s="18" t="n"/>
      <c r="O95" s="17" t="n"/>
    </row>
    <row r="96">
      <c r="A96" s="16" t="inlineStr">
        <is>
          <t>A-KH-001</t>
        </is>
      </c>
      <c r="B96" s="16" t="inlineStr">
        <is>
          <t>Tab Khác</t>
        </is>
      </c>
      <c r="C96" s="16" t="inlineStr">
        <is>
          <t>Tab Khác</t>
        </is>
      </c>
      <c r="D96" s="16" t="inlineStr">
        <is>
          <t>Tab Khác</t>
        </is>
      </c>
      <c r="E96" s="16" t="inlineStr">
        <is>
          <t>Hiển thị</t>
        </is>
      </c>
      <c r="F96" s="16" t="inlineStr">
        <is>
          <t>Bố cục tab Khác</t>
        </is>
      </c>
      <c r="G96" s="16" t="inlineStr">
        <is>
          <t>App điện thoại (màn rộng dưới 768px), đơn vị Phố Mây gói Standard, hộ kinh doanh TT152</t>
        </is>
      </c>
      <c r="H96" s="16" t="inlineStr">
        <is>
          <t>1. Mở tab Khác</t>
        </is>
      </c>
      <c r="I96" s="16" t="inlineStr">
        <is>
          <t>Ô tìm 'Tìm danh mục, thiết lập…', thẻ người dùng, nhóm Danh mục, Thiết lập, Đơn vị kế toán, Trải nghiệm gói, nút Đăng xuất</t>
        </is>
      </c>
      <c r="J96" s="16" t="inlineStr">
        <is>
          <t>Cao</t>
        </is>
      </c>
      <c r="K96" s="17" t="n"/>
      <c r="L96" s="17" t="inlineStr">
        <is>
          <t>Chưa test</t>
        </is>
      </c>
      <c r="M96" s="17" t="n"/>
      <c r="N96" s="18" t="n"/>
      <c r="O96" s="17" t="n"/>
    </row>
    <row r="97">
      <c r="A97" s="16" t="inlineStr">
        <is>
          <t>A-KH-002</t>
        </is>
      </c>
      <c r="B97" s="16" t="inlineStr">
        <is>
          <t>Tab Khác</t>
        </is>
      </c>
      <c r="C97" s="16" t="inlineStr">
        <is>
          <t>Tab Khác</t>
        </is>
      </c>
      <c r="D97" s="16" t="inlineStr">
        <is>
          <t>Tab Khác</t>
        </is>
      </c>
      <c r="E97" s="16" t="inlineStr">
        <is>
          <t>Chức năng</t>
        </is>
      </c>
      <c r="F97" s="16" t="inlineStr">
        <is>
          <t>Tìm trong tab Khác</t>
        </is>
      </c>
      <c r="G97" s="16" t="inlineStr">
        <is>
          <t>App điện thoại (màn rộng dưới 768px), đơn vị Phố Mây gói Standard, hộ kinh doanh TT152</t>
        </is>
      </c>
      <c r="H97" s="16" t="inlineStr">
        <is>
          <t>1. Gõ 'quy'
2. Gõ 'khoa so'</t>
        </is>
      </c>
      <c r="I97" s="16" t="inlineStr">
        <is>
          <t>Lọc ra Quỹ tiền; Khoá sổ</t>
        </is>
      </c>
      <c r="J97" s="16" t="inlineStr">
        <is>
          <t>Trung bình</t>
        </is>
      </c>
      <c r="K97" s="17" t="n"/>
      <c r="L97" s="17" t="inlineStr">
        <is>
          <t>Chưa test</t>
        </is>
      </c>
      <c r="M97" s="17" t="n"/>
      <c r="N97" s="18" t="n"/>
      <c r="O97" s="17" t="n"/>
    </row>
    <row r="98">
      <c r="A98" s="16" t="inlineStr">
        <is>
          <t>A-KH-003</t>
        </is>
      </c>
      <c r="B98" s="16" t="inlineStr">
        <is>
          <t>Tab Khác</t>
        </is>
      </c>
      <c r="C98" s="16" t="inlineStr">
        <is>
          <t>Đơn vị kế toán</t>
        </is>
      </c>
      <c r="D98" s="16" t="inlineStr">
        <is>
          <t>Tab Khác</t>
        </is>
      </c>
      <c r="E98" s="16" t="inlineStr">
        <is>
          <t>Chức năng</t>
        </is>
      </c>
      <c r="F98" s="16" t="inlineStr">
        <is>
          <t>Đổi đơn vị</t>
        </is>
      </c>
      <c r="G98" s="16" t="inlineStr">
        <is>
          <t>App điện thoại (màn rộng dưới 768px), đơn vị Phố Mây gói Standard, hộ kinh doanh TT152</t>
        </is>
      </c>
      <c r="H98" s="16" t="inlineStr">
        <is>
          <t>1. Bấm đổi đơn vị
2. Chọn đơn vị khác
3. Đổi về Phố Mây</t>
        </is>
      </c>
      <c r="I98" s="16" t="inlineStr">
        <is>
          <t>Gói đổi theo đơn vị; cửa hàng về Tất cả cửa hàng</t>
        </is>
      </c>
      <c r="J98" s="16" t="inlineStr">
        <is>
          <t>Trung bình</t>
        </is>
      </c>
      <c r="K98" s="17" t="n"/>
      <c r="L98" s="17" t="inlineStr">
        <is>
          <t>Chưa test</t>
        </is>
      </c>
      <c r="M98" s="17" t="n"/>
      <c r="N98" s="18" t="n"/>
      <c r="O98" s="17" t="n"/>
    </row>
    <row r="99">
      <c r="A99" s="16" t="inlineStr">
        <is>
          <t>A-KH-004</t>
        </is>
      </c>
      <c r="B99" s="16" t="inlineStr">
        <is>
          <t>Tab Khác</t>
        </is>
      </c>
      <c r="C99" s="16" t="inlineStr">
        <is>
          <t>Đăng xuất</t>
        </is>
      </c>
      <c r="D99" s="16" t="inlineStr">
        <is>
          <t>Tab Khác</t>
        </is>
      </c>
      <c r="E99" s="16" t="inlineStr">
        <is>
          <t>Chức năng</t>
        </is>
      </c>
      <c r="F99" s="16" t="inlineStr">
        <is>
          <t>Đăng xuất</t>
        </is>
      </c>
      <c r="G99" s="16" t="inlineStr">
        <is>
          <t>App điện thoại (màn rộng dưới 768px), đơn vị Phố Mây gói Standard, hộ kinh doanh TT152</t>
        </is>
      </c>
      <c r="H99" s="16" t="inlineStr">
        <is>
          <t>1. Bấm Đăng xuất</t>
        </is>
      </c>
      <c r="I99" s="16" t="inlineStr">
        <is>
          <t>Về màn đăng nhập</t>
        </is>
      </c>
      <c r="J99" s="16" t="inlineStr">
        <is>
          <t>Thấp</t>
        </is>
      </c>
      <c r="K99" s="17" t="n"/>
      <c r="L99" s="17" t="inlineStr">
        <is>
          <t>Chưa test</t>
        </is>
      </c>
      <c r="M99" s="17" t="n"/>
      <c r="N99" s="18" t="n"/>
      <c r="O99" s="17" t="n"/>
    </row>
    <row r="100">
      <c r="A100" s="16" t="inlineStr">
        <is>
          <t>A-KH-005</t>
        </is>
      </c>
      <c r="B100" s="16" t="inlineStr">
        <is>
          <t>Tab Khác</t>
        </is>
      </c>
      <c r="C100" s="16" t="inlineStr">
        <is>
          <t>Danh mục (chung)</t>
        </is>
      </c>
      <c r="D100" s="16" t="inlineStr">
        <is>
          <t>Khác › Danh mục</t>
        </is>
      </c>
      <c r="E100" s="16" t="inlineStr">
        <is>
          <t>Hiển thị</t>
        </is>
      </c>
      <c r="F100" s="16" t="inlineStr">
        <is>
          <t>Danh mục có ở gói Standard</t>
        </is>
      </c>
      <c r="G100" s="16" t="inlineStr">
        <is>
          <t>App điện thoại (màn rộng dưới 768px), đơn vị Phố Mây gói Standard, hộ kinh doanh TT152</t>
        </is>
      </c>
      <c r="H100" s="16" t="inlineStr">
        <is>
          <t>1. Xem nhóm Danh mục</t>
        </is>
      </c>
      <c r="I100" s="16" t="inlineStr">
        <is>
          <t>Hàng hoá, Nhóm hàng hoá, Đối tượng, Nhóm đối tượng, Kho, Cửa hàng, Quỹ tiền, Phương thức thanh toán, Lý do, Nhóm lý do. Không có Tài khoản, Nhóm mục chi phí, Nhóm công việc, Nhóm kho</t>
        </is>
      </c>
      <c r="J100" s="16" t="inlineStr">
        <is>
          <t>Cao</t>
        </is>
      </c>
      <c r="K100" s="17" t="n"/>
      <c r="L100" s="17" t="inlineStr">
        <is>
          <t>Chưa test</t>
        </is>
      </c>
      <c r="M100" s="17" t="n"/>
      <c r="N100" s="18" t="n"/>
      <c r="O100" s="17" t="n"/>
    </row>
    <row r="101">
      <c r="A101" s="16" t="inlineStr">
        <is>
          <t>A-KH-006</t>
        </is>
      </c>
      <c r="B101" s="16" t="inlineStr">
        <is>
          <t>Tab Khác</t>
        </is>
      </c>
      <c r="C101" s="16" t="inlineStr">
        <is>
          <t>Danh mục (chung)</t>
        </is>
      </c>
      <c r="D101" s="16" t="inlineStr">
        <is>
          <t>Khác › Danh mục</t>
        </is>
      </c>
      <c r="E101" s="16" t="inlineStr">
        <is>
          <t>Chức năng</t>
        </is>
      </c>
      <c r="F101" s="16" t="inlineStr">
        <is>
          <t>Lọc trạng thái, tìm</t>
        </is>
      </c>
      <c r="G101" s="16" t="inlineStr">
        <is>
          <t>App điện thoại (màn rộng dưới 768px), đơn vị Phố Mây gói Standard, hộ kinh doanh TT152</t>
        </is>
      </c>
      <c r="H101" s="16" t="inlineStr">
        <is>
          <t>1. Mở một danh mục
2. Lọc Đang hoạt động / Ngừng / Tất cả
3. Tìm theo mã, tên</t>
        </is>
      </c>
      <c r="I101" s="16" t="inlineStr">
        <is>
          <t>Lọc, tìm đúng</t>
        </is>
      </c>
      <c r="J101" s="16" t="inlineStr">
        <is>
          <t>Trung bình</t>
        </is>
      </c>
      <c r="K101" s="17" t="n"/>
      <c r="L101" s="17" t="inlineStr">
        <is>
          <t>Chưa test</t>
        </is>
      </c>
      <c r="M101" s="17" t="n"/>
      <c r="N101" s="18" t="n"/>
      <c r="O101" s="17" t="n"/>
    </row>
    <row r="102">
      <c r="A102" s="16" t="inlineStr">
        <is>
          <t>A-KH-007</t>
        </is>
      </c>
      <c r="B102" s="16" t="inlineStr">
        <is>
          <t>Tab Khác</t>
        </is>
      </c>
      <c r="C102" s="16" t="inlineStr">
        <is>
          <t>Hàng hoá</t>
        </is>
      </c>
      <c r="D102" s="16" t="inlineStr">
        <is>
          <t>Khác › Danh mục › Hàng hoá</t>
        </is>
      </c>
      <c r="E102" s="16" t="inlineStr">
        <is>
          <t>Ràng buộc</t>
        </is>
      </c>
      <c r="F102" s="16" t="inlineStr">
        <is>
          <t>Thêm, sửa hàng hoá</t>
        </is>
      </c>
      <c r="G102" s="16" t="inlineStr">
        <is>
          <t>App điện thoại (màn rộng dưới 768px), đơn vị Phố Mây gói Standard, hộ kinh doanh TT152</t>
        </is>
      </c>
      <c r="H102" s="16" t="inlineStr">
        <is>
          <t>1. Thêm hàng, bỏ trống ô có dấu *
2. Nhập đủ, lưu
3. Đổi loại Thành phẩm</t>
        </is>
      </c>
      <c r="I102" s="16" t="inlineStr">
        <is>
          <t>Ô bắt buộc có dấu *, thiếu thì báo lỗi; không có ĐVT phụ, mã vạch, giá mua/bán; Thành phẩm tắt Theo dõi tồn kho</t>
        </is>
      </c>
      <c r="J102" s="16" t="inlineStr">
        <is>
          <t>Cao</t>
        </is>
      </c>
      <c r="K102" s="17" t="n"/>
      <c r="L102" s="17" t="inlineStr">
        <is>
          <t>Chưa test</t>
        </is>
      </c>
      <c r="M102" s="17" t="n"/>
      <c r="N102" s="18" t="n"/>
      <c r="O102" s="17" t="n"/>
    </row>
    <row r="103">
      <c r="A103" s="16" t="inlineStr">
        <is>
          <t>A-KH-008</t>
        </is>
      </c>
      <c r="B103" s="16" t="inlineStr">
        <is>
          <t>Tab Khác</t>
        </is>
      </c>
      <c r="C103" s="16" t="inlineStr">
        <is>
          <t>Đối tượng</t>
        </is>
      </c>
      <c r="D103" s="16" t="inlineStr">
        <is>
          <t>Khác › Danh mục › Đối tượng</t>
        </is>
      </c>
      <c r="E103" s="16" t="inlineStr">
        <is>
          <t>Chức năng</t>
        </is>
      </c>
      <c r="F103" s="16" t="inlineStr">
        <is>
          <t>Thêm khách hàng, NCC, nhân viên</t>
        </is>
      </c>
      <c r="G103" s="16" t="inlineStr">
        <is>
          <t>App điện thoại (màn rộng dưới 768px), đơn vị Phố Mây gói Standard, hộ kinh doanh TT152</t>
        </is>
      </c>
      <c r="H103" s="16" t="inlineStr">
        <is>
          <t>1. Thêm từng loại
2. Lưu thiếu tên, trùng mã</t>
        </is>
      </c>
      <c r="I103" s="16" t="inlineStr">
        <is>
          <t>Thêm được; thiếu tên, trùng mã báo lỗi; không có số thẻ ngân hàng</t>
        </is>
      </c>
      <c r="J103" s="16" t="inlineStr">
        <is>
          <t>Trung bình</t>
        </is>
      </c>
      <c r="K103" s="17" t="n"/>
      <c r="L103" s="17" t="inlineStr">
        <is>
          <t>Chưa test</t>
        </is>
      </c>
      <c r="M103" s="17" t="n"/>
      <c r="N103" s="18" t="n"/>
      <c r="O103" s="17" t="n"/>
    </row>
    <row r="104">
      <c r="A104" s="16" t="inlineStr">
        <is>
          <t>A-KH-009</t>
        </is>
      </c>
      <c r="B104" s="16" t="inlineStr">
        <is>
          <t>Tab Khác</t>
        </is>
      </c>
      <c r="C104" s="16" t="inlineStr">
        <is>
          <t>Nhóm hàng hoá, nhóm đối tượng</t>
        </is>
      </c>
      <c r="D104" s="16" t="inlineStr">
        <is>
          <t>Khác › Danh mục</t>
        </is>
      </c>
      <c r="E104" s="16" t="inlineStr">
        <is>
          <t>Chức năng</t>
        </is>
      </c>
      <c r="F104" s="16" t="inlineStr">
        <is>
          <t>Thêm, sửa, xoá nhóm</t>
        </is>
      </c>
      <c r="G104" s="16" t="inlineStr">
        <is>
          <t>App điện thoại (màn rộng dưới 768px), đơn vị Phố Mây gói Standard, hộ kinh doanh TT152</t>
        </is>
      </c>
      <c r="H104" s="16" t="inlineStr">
        <is>
          <t>1. Thêm nhóm
2. Sửa
3. Xoá</t>
        </is>
      </c>
      <c r="I104" s="16" t="inlineStr">
        <is>
          <t>Thao tác đúng</t>
        </is>
      </c>
      <c r="J104" s="16" t="inlineStr">
        <is>
          <t>Thấp</t>
        </is>
      </c>
      <c r="K104" s="17" t="n"/>
      <c r="L104" s="17" t="inlineStr">
        <is>
          <t>Chưa test</t>
        </is>
      </c>
      <c r="M104" s="17" t="n"/>
      <c r="N104" s="18" t="n"/>
      <c r="O104" s="17" t="n"/>
    </row>
    <row r="105">
      <c r="A105" s="16" t="inlineStr">
        <is>
          <t>A-KH-010</t>
        </is>
      </c>
      <c r="B105" s="16" t="inlineStr">
        <is>
          <t>Tab Khác</t>
        </is>
      </c>
      <c r="C105" s="16" t="inlineStr">
        <is>
          <t>Kho</t>
        </is>
      </c>
      <c r="D105" s="16" t="inlineStr">
        <is>
          <t>Khác › Danh mục › Kho</t>
        </is>
      </c>
      <c r="E105" s="16" t="inlineStr">
        <is>
          <t>Ràng buộc</t>
        </is>
      </c>
      <c r="F105" s="16" t="inlineStr">
        <is>
          <t>Kho chỉ xem</t>
        </is>
      </c>
      <c r="G105" s="16" t="inlineStr">
        <is>
          <t>App điện thoại (màn rộng dưới 768px), đơn vị Phố Mây gói Standard, hộ kinh doanh TT152</t>
        </is>
      </c>
      <c r="H105" s="16" t="inlineStr">
        <is>
          <t>1. Mở Kho</t>
        </is>
      </c>
      <c r="I105" s="16" t="inlineStr">
        <is>
          <t>Không có nút thêm kho; mỗi cửa hàng một kho</t>
        </is>
      </c>
      <c r="J105" s="16" t="inlineStr">
        <is>
          <t>Trung bình</t>
        </is>
      </c>
      <c r="K105" s="17" t="n"/>
      <c r="L105" s="17" t="inlineStr">
        <is>
          <t>Chưa test</t>
        </is>
      </c>
      <c r="M105" s="17" t="n"/>
      <c r="N105" s="18" t="n"/>
      <c r="O105" s="17" t="n"/>
    </row>
    <row r="106">
      <c r="A106" s="16" t="inlineStr">
        <is>
          <t>A-KH-011</t>
        </is>
      </c>
      <c r="B106" s="16" t="inlineStr">
        <is>
          <t>Tab Khác</t>
        </is>
      </c>
      <c r="C106" s="16" t="inlineStr">
        <is>
          <t>Quỹ tiền</t>
        </is>
      </c>
      <c r="D106" s="16" t="inlineStr">
        <is>
          <t>Khác › Danh mục › Quỹ tiền</t>
        </is>
      </c>
      <c r="E106" s="16" t="inlineStr">
        <is>
          <t>Chức năng</t>
        </is>
      </c>
      <c r="F106" s="16" t="inlineStr">
        <is>
          <t>Thêm quỹ, số dư ban đầu</t>
        </is>
      </c>
      <c r="G106" s="16" t="inlineStr">
        <is>
          <t>App điện thoại (màn rộng dưới 768px), đơn vị Phố Mây gói Standard, hộ kinh doanh TT152</t>
        </is>
      </c>
      <c r="H106" s="16" t="inlineStr">
        <is>
          <t>1. Thêm quỹ tiền mặt, nhập Số dư ban đầu
2. Mở Sổ quỹ kỳ đầu</t>
        </is>
      </c>
      <c r="I106" s="16" t="inlineStr">
        <is>
          <t>Có ô Số dư ban đầu; số dư lên sổ đầu kỳ</t>
        </is>
      </c>
      <c r="J106" s="16" t="inlineStr">
        <is>
          <t>Cao</t>
        </is>
      </c>
      <c r="K106" s="17" t="n"/>
      <c r="L106" s="17" t="inlineStr">
        <is>
          <t>Chưa test</t>
        </is>
      </c>
      <c r="M106" s="17" t="n"/>
      <c r="N106" s="18" t="n"/>
      <c r="O106" s="17" t="n"/>
    </row>
    <row r="107">
      <c r="A107" s="16" t="inlineStr">
        <is>
          <t>A-KH-012</t>
        </is>
      </c>
      <c r="B107" s="16" t="inlineStr">
        <is>
          <t>Tab Khác</t>
        </is>
      </c>
      <c r="C107" s="16" t="inlineStr">
        <is>
          <t>Lý do nghiệp vụ</t>
        </is>
      </c>
      <c r="D107" s="16" t="inlineStr">
        <is>
          <t>Khác › Danh mục › Lý do</t>
        </is>
      </c>
      <c r="E107" s="16" t="inlineStr">
        <is>
          <t>Ràng buộc</t>
        </is>
      </c>
      <c r="F107" s="16" t="inlineStr">
        <is>
          <t>Loại lý do</t>
        </is>
      </c>
      <c r="G107" s="16" t="inlineStr">
        <is>
          <t>App điện thoại (màn rộng dưới 768px), đơn vị Phố Mây gói Standard, hộ kinh doanh TT152</t>
        </is>
      </c>
      <c r="H107" s="16" t="inlineStr">
        <is>
          <t>1. Thêm lý do
2. Mở ô loại</t>
        </is>
      </c>
      <c r="I107" s="16" t="inlineStr">
        <is>
          <t>Chỉ chọn Thu tiền hoặc Chi tiền; tích là chi phí được</t>
        </is>
      </c>
      <c r="J107" s="16" t="inlineStr">
        <is>
          <t>Trung bình</t>
        </is>
      </c>
      <c r="K107" s="17" t="n"/>
      <c r="L107" s="17" t="inlineStr">
        <is>
          <t>Chưa test</t>
        </is>
      </c>
      <c r="M107" s="17" t="n"/>
      <c r="N107" s="18" t="n"/>
      <c r="O107" s="17" t="n"/>
    </row>
    <row r="108">
      <c r="A108" s="16" t="inlineStr">
        <is>
          <t>A-KH-013</t>
        </is>
      </c>
      <c r="B108" s="16" t="inlineStr">
        <is>
          <t>Tab Khác</t>
        </is>
      </c>
      <c r="C108" s="16" t="inlineStr">
        <is>
          <t>Nhóm lý do, Phương thức thanh toán</t>
        </is>
      </c>
      <c r="D108" s="16" t="inlineStr">
        <is>
          <t>Khác › Danh mục</t>
        </is>
      </c>
      <c r="E108" s="16" t="inlineStr">
        <is>
          <t>Ràng buộc</t>
        </is>
      </c>
      <c r="F108" s="16" t="inlineStr">
        <is>
          <t>Chỉ xem</t>
        </is>
      </c>
      <c r="G108" s="16" t="inlineStr">
        <is>
          <t>App điện thoại (màn rộng dưới 768px), đơn vị Phố Mây gói Standard, hộ kinh doanh TT152</t>
        </is>
      </c>
      <c r="H108" s="16" t="inlineStr">
        <is>
          <t>1. Mở Nhóm lý do
2. Mở Phương thức thanh toán</t>
        </is>
      </c>
      <c r="I108" s="16" t="inlineStr">
        <is>
          <t>Không có thêm, sửa, xoá; nhóm lý do đủ 6 nhóm S2c-HKD</t>
        </is>
      </c>
      <c r="J108" s="16" t="inlineStr">
        <is>
          <t>Trung bình</t>
        </is>
      </c>
      <c r="K108" s="17" t="n"/>
      <c r="L108" s="17" t="inlineStr">
        <is>
          <t>Chưa test</t>
        </is>
      </c>
      <c r="M108" s="17" t="n"/>
      <c r="N108" s="18" t="n"/>
      <c r="O108" s="17" t="n"/>
    </row>
    <row r="109">
      <c r="A109" s="16" t="inlineStr">
        <is>
          <t>A-KH-014</t>
        </is>
      </c>
      <c r="B109" s="16" t="inlineStr">
        <is>
          <t>Tab Khác</t>
        </is>
      </c>
      <c r="C109" s="16" t="inlineStr">
        <is>
          <t>Cửa hàng</t>
        </is>
      </c>
      <c r="D109" s="16" t="inlineStr">
        <is>
          <t>Khác › Danh mục › Cửa hàng</t>
        </is>
      </c>
      <c r="E109" s="16" t="inlineStr">
        <is>
          <t>Chức năng</t>
        </is>
      </c>
      <c r="F109" s="16" t="inlineStr">
        <is>
          <t>Chi tiết cửa hàng</t>
        </is>
      </c>
      <c r="G109" s="16" t="inlineStr">
        <is>
          <t>App điện thoại (màn rộng dưới 768px), đơn vị Phố Mây gói Standard, hộ kinh doanh TT152</t>
        </is>
      </c>
      <c r="H109" s="16" t="inlineStr">
        <is>
          <t>1. Mở một cửa hàng
2. Đổi Cách tính NVL
3. Bật/tắt Đồng bộ thu chi FABi</t>
        </is>
      </c>
      <c r="I109" s="16" t="inlineStr">
        <is>
          <t>Có Kho, Nguồn, Cách tính NVL, công tắc đồng bộ; đổi xong khớp web và màn Chi phí NVL</t>
        </is>
      </c>
      <c r="J109" s="16" t="inlineStr">
        <is>
          <t>Cao</t>
        </is>
      </c>
      <c r="K109" s="17" t="n"/>
      <c r="L109" s="17" t="inlineStr">
        <is>
          <t>Chưa test</t>
        </is>
      </c>
      <c r="M109" s="17" t="n"/>
      <c r="N109" s="18" t="n"/>
      <c r="O109" s="17" t="n"/>
    </row>
    <row r="110">
      <c r="A110" s="16" t="inlineStr">
        <is>
          <t>A-KH-015</t>
        </is>
      </c>
      <c r="B110" s="16" t="inlineStr">
        <is>
          <t>Tab Khác</t>
        </is>
      </c>
      <c r="C110" s="16" t="inlineStr">
        <is>
          <t>Cửa hàng</t>
        </is>
      </c>
      <c r="D110" s="16" t="inlineStr">
        <is>
          <t>Khác › Danh mục › Cửa hàng</t>
        </is>
      </c>
      <c r="E110" s="16" t="inlineStr">
        <is>
          <t>Chức năng</t>
        </is>
      </c>
      <c r="F110" s="16" t="inlineStr">
        <is>
          <t>Đồng bộ FABi</t>
        </is>
      </c>
      <c r="G110" s="16" t="inlineStr">
        <is>
          <t>App điện thoại (màn rộng dưới 768px), đơn vị Phố Mây gói Standard, hộ kinh doanh TT152</t>
        </is>
      </c>
      <c r="H110" s="16" t="inlineStr">
        <is>
          <t>1. Bấm nút đồng bộ FABi</t>
        </is>
      </c>
      <c r="I110" s="16" t="inlineStr">
        <is>
          <t>Lấy cửa hàng mới từ FABi, không nhân đôi</t>
        </is>
      </c>
      <c r="J110" s="16" t="inlineStr">
        <is>
          <t>Thấp</t>
        </is>
      </c>
      <c r="K110" s="17" t="n"/>
      <c r="L110" s="17" t="inlineStr">
        <is>
          <t>Chưa test</t>
        </is>
      </c>
      <c r="M110" s="17" t="n"/>
      <c r="N110" s="18" t="n"/>
      <c r="O110" s="17" t="n"/>
    </row>
    <row r="111">
      <c r="A111" s="16" t="inlineStr">
        <is>
          <t>A-KH-016</t>
        </is>
      </c>
      <c r="B111" s="16" t="inlineStr">
        <is>
          <t>Tab Khác</t>
        </is>
      </c>
      <c r="C111" s="16" t="inlineStr">
        <is>
          <t>Thêm cửa hàng FABi</t>
        </is>
      </c>
      <c r="D111" s="16" t="inlineStr">
        <is>
          <t>Cửa hàng › Thêm</t>
        </is>
      </c>
      <c r="E111" s="16" t="inlineStr">
        <is>
          <t>Ràng buộc</t>
        </is>
      </c>
      <c r="F111" s="16" t="inlineStr">
        <is>
          <t>Thêm cửa hàng từ FABi</t>
        </is>
      </c>
      <c r="G111" s="16" t="inlineStr">
        <is>
          <t>App điện thoại (màn rộng dưới 768px), đơn vị Phố Mây gói Standard, hộ kinh doanh TT152</t>
        </is>
      </c>
      <c r="H111" s="16" t="inlineStr">
        <is>
          <t>1. Mở Thêm, chưa chọn cửa hàng nào
2. Chọn 2 cửa hàng, tích khai số dư ban đầu
3. Bấm 'Thêm 2 cửa hàng'</t>
        </is>
      </c>
      <c r="I111" s="16" t="inlineStr">
        <is>
          <t>Chưa chọn thì nút khoá; nhãn nút đổi theo số đã chọn; thêm xong chuyển sang Danh mục Quỹ tiền</t>
        </is>
      </c>
      <c r="J111" s="16" t="inlineStr">
        <is>
          <t>Cao</t>
        </is>
      </c>
      <c r="K111" s="17" t="n"/>
      <c r="L111" s="17" t="inlineStr">
        <is>
          <t>Chưa test</t>
        </is>
      </c>
      <c r="M111" s="17" t="n"/>
      <c r="N111" s="18" t="n"/>
      <c r="O111" s="17" t="n"/>
    </row>
    <row r="112">
      <c r="A112" s="16" t="inlineStr">
        <is>
          <t>A-KH-017</t>
        </is>
      </c>
      <c r="B112" s="16" t="inlineStr">
        <is>
          <t>Tab Khác</t>
        </is>
      </c>
      <c r="C112" s="16" t="inlineStr">
        <is>
          <t>Thông tin đơn vị</t>
        </is>
      </c>
      <c r="D112" s="16" t="inlineStr">
        <is>
          <t>Khác › Thiết lập</t>
        </is>
      </c>
      <c r="E112" s="16" t="inlineStr">
        <is>
          <t>Ràng buộc</t>
        </is>
      </c>
      <c r="F112" s="16" t="inlineStr">
        <is>
          <t>Lưu thông tin đơn vị</t>
        </is>
      </c>
      <c r="G112" s="16" t="inlineStr">
        <is>
          <t>App điện thoại (màn rộng dưới 768px), đơn vị Phố Mây gói Standard, hộ kinh doanh TT152</t>
        </is>
      </c>
      <c r="H112" s="16" t="inlineStr">
        <is>
          <t>1. Xoá tên, lưu
2. Nhập ngày đầu năm sai dạng
3. Đổi loại hình sang Doanh nghiệp</t>
        </is>
      </c>
      <c r="I112" s="16" t="inlineStr">
        <is>
          <t>Báo 'Tên đơn vị không được để trống'; 'Ngày đầu năm cần nhập dạng dd/mm/yyyy'; doanh nghiệp cố định TT58 trường hợp 1</t>
        </is>
      </c>
      <c r="J112" s="16" t="inlineStr">
        <is>
          <t>Cao</t>
        </is>
      </c>
      <c r="K112" s="17" t="n"/>
      <c r="L112" s="17" t="inlineStr">
        <is>
          <t>Chưa test</t>
        </is>
      </c>
      <c r="M112" s="17" t="n"/>
      <c r="N112" s="18" t="n"/>
      <c r="O112" s="17" t="n"/>
    </row>
    <row r="113">
      <c r="A113" s="16" t="inlineStr">
        <is>
          <t>A-KH-018</t>
        </is>
      </c>
      <c r="B113" s="16" t="inlineStr">
        <is>
          <t>Tab Khác</t>
        </is>
      </c>
      <c r="C113" s="16" t="inlineStr">
        <is>
          <t>Thông tin đơn vị</t>
        </is>
      </c>
      <c r="D113" s="16" t="inlineStr">
        <is>
          <t>Khác › Thiết lập</t>
        </is>
      </c>
      <c r="E113" s="16" t="inlineStr">
        <is>
          <t>Chức năng</t>
        </is>
      </c>
      <c r="F113" s="16" t="inlineStr">
        <is>
          <t>Thiết lập hộ kinh doanh</t>
        </is>
      </c>
      <c r="G113" s="16" t="inlineStr">
        <is>
          <t>App điện thoại (màn rộng dưới 768px), đơn vị Phố Mây gói Standard, hộ kinh doanh TT152</t>
        </is>
      </c>
      <c r="H113" s="16" t="inlineStr">
        <is>
          <t>1. Đổi nhóm 1–4
2. Chọn cửa hàng chính, kênh, sàn
3. Lưu, so với web</t>
        </is>
      </c>
      <c r="I113" s="16" t="inlineStr">
        <is>
          <t>Lưu đúng, web hiện cùng thiết lập</t>
        </is>
      </c>
      <c r="J113" s="16" t="inlineStr">
        <is>
          <t>Trung bình</t>
        </is>
      </c>
      <c r="K113" s="17" t="n"/>
      <c r="L113" s="17" t="inlineStr">
        <is>
          <t>Chưa test</t>
        </is>
      </c>
      <c r="M113" s="17" t="n"/>
      <c r="N113" s="18" t="n"/>
      <c r="O113" s="17" t="n"/>
    </row>
    <row r="114">
      <c r="A114" s="16" t="inlineStr">
        <is>
          <t>A-KH-019</t>
        </is>
      </c>
      <c r="B114" s="16" t="inlineStr">
        <is>
          <t>Tab Khác</t>
        </is>
      </c>
      <c r="C114" s="16" t="inlineStr">
        <is>
          <t>Cấu hình kế toán</t>
        </is>
      </c>
      <c r="D114" s="16" t="inlineStr">
        <is>
          <t>Khác › Thiết lập</t>
        </is>
      </c>
      <c r="E114" s="16" t="inlineStr">
        <is>
          <t>Hiển thị</t>
        </is>
      </c>
      <c r="F114" s="16" t="inlineStr">
        <is>
          <t>Cấu hình kế toán</t>
        </is>
      </c>
      <c r="G114" s="16" t="inlineStr">
        <is>
          <t>App điện thoại (màn rộng dưới 768px), đơn vị Phố Mây gói Standard, hộ kinh doanh TT152</t>
        </is>
      </c>
      <c r="H114" s="16" t="inlineStr">
        <is>
          <t>1. Mở Cấu hình kế toán</t>
        </is>
      </c>
      <c r="I114" s="16" t="inlineStr">
        <is>
          <t>Không có Nợ/Có; có mẫu đánh số chứng từ, đồng bộ thu chi FABi theo cửa hàng</t>
        </is>
      </c>
      <c r="J114" s="16" t="inlineStr">
        <is>
          <t>Thấp</t>
        </is>
      </c>
      <c r="K114" s="17" t="n"/>
      <c r="L114" s="17" t="inlineStr">
        <is>
          <t>Chưa test</t>
        </is>
      </c>
      <c r="M114" s="17" t="n"/>
      <c r="N114" s="18" t="n"/>
      <c r="O114" s="17" t="n"/>
    </row>
    <row r="115">
      <c r="A115" s="16" t="inlineStr">
        <is>
          <t>A-KH-020</t>
        </is>
      </c>
      <c r="B115" s="16" t="inlineStr">
        <is>
          <t>Tab Khác</t>
        </is>
      </c>
      <c r="C115" s="16" t="inlineStr">
        <is>
          <t>Khoá sổ</t>
        </is>
      </c>
      <c r="D115" s="16" t="inlineStr">
        <is>
          <t>Khác › Thiết lập › Khoá sổ</t>
        </is>
      </c>
      <c r="E115" s="16" t="inlineStr">
        <is>
          <t>Chức năng</t>
        </is>
      </c>
      <c r="F115" s="16" t="inlineStr">
        <is>
          <t>5 bước kiểm tra</t>
        </is>
      </c>
      <c r="G115" s="16" t="inlineStr">
        <is>
          <t>App điện thoại (màn rộng dưới 768px), đơn vị Phố Mây gói Standard, hộ kinh doanh TT152</t>
        </is>
      </c>
      <c r="H115" s="16" t="inlineStr">
        <is>
          <t>1. Mở Khoá sổ
2. Bấm từng link ở 5 bước kiểm tra</t>
        </is>
      </c>
      <c r="I115" s="16" t="inlineStr">
        <is>
          <t>Có bước kiểm kê, phân bổ, chi phí chờ ghi tăng, đối chiếu tồn quỹ, phiếu FABi chờ; link mở đúng màn (đối chiếu quỹ mở Lịch sử thu chi)</t>
        </is>
      </c>
      <c r="J115" s="16" t="inlineStr">
        <is>
          <t>Cao</t>
        </is>
      </c>
      <c r="K115" s="17" t="n"/>
      <c r="L115" s="17" t="inlineStr">
        <is>
          <t>Chưa test</t>
        </is>
      </c>
      <c r="M115" s="17" t="n"/>
      <c r="N115" s="18" t="n"/>
      <c r="O115" s="17" t="n"/>
    </row>
    <row r="116">
      <c r="A116" s="16" t="inlineStr">
        <is>
          <t>A-KH-021</t>
        </is>
      </c>
      <c r="B116" s="16" t="inlineStr">
        <is>
          <t>Tab Khác</t>
        </is>
      </c>
      <c r="C116" s="16" t="inlineStr">
        <is>
          <t>Khoá sổ</t>
        </is>
      </c>
      <c r="D116" s="16" t="inlineStr">
        <is>
          <t>Khác › Thiết lập › Khoá sổ</t>
        </is>
      </c>
      <c r="E116" s="16" t="inlineStr">
        <is>
          <t>Tích hợp</t>
        </is>
      </c>
      <c r="F116" s="16" t="inlineStr">
        <is>
          <t>Khoá theo cửa hàng</t>
        </is>
      </c>
      <c r="G116" s="16" t="inlineStr">
        <is>
          <t>App điện thoại (màn rộng dưới 768px), đơn vị Phố Mây gói Standard, hộ kinh doanh TT152</t>
        </is>
      </c>
      <c r="H116" s="16" t="inlineStr">
        <is>
          <t>1. Chọn cửa hàng A, khoá tháng kế
2. Chọn Tất cả cửa hàng, khoá
3. Mở phiếu tháng đã khoá</t>
        </is>
      </c>
      <c r="I116" s="16" t="inlineStr">
        <is>
          <t>Bước 1 chỉ A bị khoá. Bước 2 mỗi cửa hàng khoá tháng kế của nó. Phiếu tháng đã khoá chỉ xem</t>
        </is>
      </c>
      <c r="J116" s="16" t="inlineStr">
        <is>
          <t>Cao</t>
        </is>
      </c>
      <c r="K116" s="17" t="n"/>
      <c r="L116" s="17" t="inlineStr">
        <is>
          <t>Chưa test</t>
        </is>
      </c>
      <c r="M116" s="17" t="n"/>
      <c r="N116" s="18" t="n"/>
      <c r="O116" s="17" t="n"/>
    </row>
    <row r="117">
      <c r="A117" s="16" t="inlineStr">
        <is>
          <t>A-KH-022</t>
        </is>
      </c>
      <c r="B117" s="16" t="inlineStr">
        <is>
          <t>Tab Khác</t>
        </is>
      </c>
      <c r="C117" s="16" t="inlineStr">
        <is>
          <t>Khoá sổ</t>
        </is>
      </c>
      <c r="D117" s="16" t="inlineStr">
        <is>
          <t>Khác › Thiết lập › Khoá sổ</t>
        </is>
      </c>
      <c r="E117" s="16" t="inlineStr">
        <is>
          <t>Ràng buộc</t>
        </is>
      </c>
      <c r="F117" s="16" t="inlineStr">
        <is>
          <t>Mở khoá cần lý do</t>
        </is>
      </c>
      <c r="G117" s="16" t="inlineStr">
        <is>
          <t>App điện thoại (màn rộng dưới 768px), đơn vị Phố Mây gói Standard, hộ kinh doanh TT152</t>
        </is>
      </c>
      <c r="H117" s="16" t="inlineStr">
        <is>
          <t>1. Mở khoá, bỏ trống lý do
2. Nhập lý do</t>
        </is>
      </c>
      <c r="I117" s="16" t="inlineStr">
        <is>
          <t>Báo 'Nhập lý do mở khoá'; có lý do thì mở được, ghi vào lịch sử khoá</t>
        </is>
      </c>
      <c r="J117" s="16" t="inlineStr">
        <is>
          <t>Cao</t>
        </is>
      </c>
      <c r="K117" s="17" t="n"/>
      <c r="L117" s="17" t="inlineStr">
        <is>
          <t>Chưa test</t>
        </is>
      </c>
      <c r="M117" s="17" t="n"/>
      <c r="N117" s="18" t="n"/>
      <c r="O117" s="17" t="n"/>
    </row>
    <row r="118">
      <c r="A118" s="16" t="inlineStr">
        <is>
          <t>A-KH-023</t>
        </is>
      </c>
      <c r="B118" s="16" t="inlineStr">
        <is>
          <t>Tab Khác</t>
        </is>
      </c>
      <c r="C118" s="16" t="inlineStr">
        <is>
          <t>Gói thuê bao</t>
        </is>
      </c>
      <c r="D118" s="16" t="inlineStr">
        <is>
          <t>Khác › Trải nghiệm gói</t>
        </is>
      </c>
      <c r="E118" s="16" t="inlineStr">
        <is>
          <t>Hiển thị</t>
        </is>
      </c>
      <c r="F118" s="16" t="inlineStr">
        <is>
          <t>Gói thuê bao</t>
        </is>
      </c>
      <c r="G118" s="16" t="inlineStr">
        <is>
          <t>App điện thoại (màn rộng dưới 768px), đơn vị Phố Mây gói Standard, hộ kinh doanh TT152</t>
        </is>
      </c>
      <c r="H118" s="16" t="inlineStr">
        <is>
          <t>1. Mở Gói thuê bao</t>
        </is>
      </c>
      <c r="I118" s="16" t="inlineStr">
        <is>
          <t>Thẻ gói đang dùng Standard; Plus, Pro nhãn Sắp ra mắt, không chuyển được sang gói chưa mở bán</t>
        </is>
      </c>
      <c r="J118" s="16" t="inlineStr">
        <is>
          <t>Trung bình</t>
        </is>
      </c>
      <c r="K118" s="17" t="n"/>
      <c r="L118" s="17" t="inlineStr">
        <is>
          <t>Chưa test</t>
        </is>
      </c>
      <c r="M118" s="17" t="n"/>
      <c r="N118" s="18" t="n"/>
      <c r="O118" s="17" t="n"/>
    </row>
    <row r="119">
      <c r="A119" s="16" t="inlineStr">
        <is>
          <t>A-XP-001</t>
        </is>
      </c>
      <c r="B119" s="16" t="inlineStr">
        <is>
          <t>Xem phiếu</t>
        </is>
      </c>
      <c r="C119" s="16" t="inlineStr">
        <is>
          <t>Xem phiếu (chung)</t>
        </is>
      </c>
      <c r="D119" s="16" t="inlineStr">
        <is>
          <t>Mọi danh sách chứng từ</t>
        </is>
      </c>
      <c r="E119" s="16" t="inlineStr">
        <is>
          <t>Hiển thị</t>
        </is>
      </c>
      <c r="F119" s="16" t="inlineStr">
        <is>
          <t>Không Ghi sổ, không Xuất Excel</t>
        </is>
      </c>
      <c r="G119" s="16" t="inlineStr">
        <is>
          <t>App điện thoại (màn rộng dưới 768px), đơn vị Phố Mây gói Standard, hộ kinh doanh TT152</t>
        </is>
      </c>
      <c r="H119" s="16" t="inlineStr">
        <is>
          <t>1. Mở phiếu thu chi, mua hàng, kiểm kê
2. Xem chân màn, menu ⋯</t>
        </is>
      </c>
      <c r="I119" s="16" t="inlineStr">
        <is>
          <t>Không có Ghi sổ / Bỏ ghi sổ, Hạch toán, Đính kèm, Xuất Excel, In phiếu; nút chính là Sửa phiếu (phiếu mua còn nợ là Thanh toán)</t>
        </is>
      </c>
      <c r="J119" s="16" t="inlineStr">
        <is>
          <t>Cao</t>
        </is>
      </c>
      <c r="K119" s="17" t="n"/>
      <c r="L119" s="17" t="inlineStr">
        <is>
          <t>Chưa test</t>
        </is>
      </c>
      <c r="M119" s="17" t="n"/>
      <c r="N119" s="18" t="n"/>
      <c r="O119" s="17" t="n"/>
    </row>
    <row r="120">
      <c r="A120" s="16" t="inlineStr">
        <is>
          <t>A-XP-002</t>
        </is>
      </c>
      <c r="B120" s="16" t="inlineStr">
        <is>
          <t>Xem phiếu</t>
        </is>
      </c>
      <c r="C120" s="16" t="inlineStr">
        <is>
          <t>Xem phiếu (chung)</t>
        </is>
      </c>
      <c r="D120" s="16" t="inlineStr">
        <is>
          <t>Mọi danh sách chứng từ</t>
        </is>
      </c>
      <c r="E120" s="16" t="inlineStr">
        <is>
          <t>Ràng buộc</t>
        </is>
      </c>
      <c r="F120" s="16" t="inlineStr">
        <is>
          <t>Thứ tự chặn xoá</t>
        </is>
      </c>
      <c r="G120" s="16" t="inlineStr">
        <is>
          <t>App điện thoại (màn rộng dưới 768px), đơn vị Phố Mây gói Standard, hộ kinh doanh TT152</t>
        </is>
      </c>
      <c r="H120" s="16" t="inlineStr">
        <is>
          <t>1. Xoá phiếu tháng đã khoá
2. Xoá phiếu chi có thẻ phân bổ thuộc kỳ khoá
3. Xoá phiếu mua có phiếu chi tham chiếu
4. Xoá phiếu có phiếu nhập liên quan</t>
        </is>
      </c>
      <c r="I120" s="16" t="inlineStr">
        <is>
          <t>Báo lần lượt: thuộc kỳ đã khoá sổ, không xoá được; thẻ phân bổ thuộc kỳ khoá; có phiếu … tham chiếu, xoá … trước; đã có phiếu nhập</t>
        </is>
      </c>
      <c r="J120" s="16" t="inlineStr">
        <is>
          <t>Cao</t>
        </is>
      </c>
      <c r="K120" s="17" t="n"/>
      <c r="L120" s="17" t="inlineStr">
        <is>
          <t>Chưa test</t>
        </is>
      </c>
      <c r="M120" s="17" t="n"/>
      <c r="N120" s="18" t="n"/>
      <c r="O120" s="17" t="n"/>
    </row>
    <row r="121">
      <c r="A121" s="16" t="inlineStr">
        <is>
          <t>A-XP-003</t>
        </is>
      </c>
      <c r="B121" s="16" t="inlineStr">
        <is>
          <t>Xem phiếu</t>
        </is>
      </c>
      <c r="C121" s="16" t="inlineStr">
        <is>
          <t>Màn Thành công</t>
        </is>
      </c>
      <c r="D121" s="16" t="inlineStr">
        <is>
          <t>Sau khi lưu / xoá phiếu</t>
        </is>
      </c>
      <c r="E121" s="16" t="inlineStr">
        <is>
          <t>Chức năng</t>
        </is>
      </c>
      <c r="F121" s="16" t="inlineStr">
        <is>
          <t>Các nút màn Thành công</t>
        </is>
      </c>
      <c r="G121" s="16" t="inlineStr">
        <is>
          <t>App điện thoại (màn rộng dưới 768px), đơn vị Phố Mây gói Standard, hộ kinh doanh TT152</t>
        </is>
      </c>
      <c r="H121" s="16" t="inlineStr">
        <is>
          <t>1. Lưu một phiếu
2. Lần lượt bấm Xem chi tiết, Lập mới, Về danh sách, Home</t>
        </is>
      </c>
      <c r="I121" s="16" t="inlineStr">
        <is>
          <t>Mở phiếu vừa lưu; mở form trống cùng loại; về danh sách; về Trang chủ</t>
        </is>
      </c>
      <c r="J121" s="16" t="inlineStr">
        <is>
          <t>Trung bình</t>
        </is>
      </c>
      <c r="K121" s="17" t="n"/>
      <c r="L121" s="17" t="inlineStr">
        <is>
          <t>Chưa test</t>
        </is>
      </c>
      <c r="M121" s="17" t="n"/>
      <c r="N121" s="18" t="n"/>
      <c r="O121" s="17" t="n"/>
    </row>
    <row r="122">
      <c r="A122" s="16" t="inlineStr">
        <is>
          <t>A-DN-001</t>
        </is>
      </c>
      <c r="B122" s="16" t="inlineStr">
        <is>
          <t>Doanh nghiệp TT58</t>
        </is>
      </c>
      <c r="C122" s="16" t="inlineStr">
        <is>
          <t>Toàn app</t>
        </is>
      </c>
      <c r="D122" s="16" t="inlineStr">
        <is>
          <t>Mọi tab</t>
        </is>
      </c>
      <c r="E122" s="16" t="inlineStr">
        <is>
          <t>Tích hợp</t>
        </is>
      </c>
      <c r="F122" s="16" t="inlineStr">
        <is>
          <t>Doanh nghiệp gói Standard trên app</t>
        </is>
      </c>
      <c r="G122" s="16" t="inlineStr">
        <is>
          <t>App điện thoại, đơn vị doanh nghiệp gói Standard</t>
        </is>
      </c>
      <c r="H122" s="16" t="inlineStr">
        <is>
          <t>1. Đổi sang đơn vị doanh nghiệp gói Standard
2. Lập phiếu thu, mua, kiểm kê
3. Mở tab Báo cáo</t>
        </is>
      </c>
      <c r="I122" s="16" t="inlineStr">
        <is>
          <t>Không Nợ/Có, không Ghi sổ; sổ doanh thu chỉ S1-DNSN</t>
        </is>
      </c>
      <c r="J122" s="16" t="inlineStr">
        <is>
          <t>Cao</t>
        </is>
      </c>
      <c r="K122" s="17" t="n"/>
      <c r="L122" s="17" t="inlineStr">
        <is>
          <t>Chưa test</t>
        </is>
      </c>
      <c r="M122" s="17" t="n"/>
      <c r="N122" s="18" t="n"/>
      <c r="O122" s="17" t="n"/>
    </row>
  </sheetData>
  <autoFilter ref="A1:O122"/>
  <dataValidations count="2">
    <dataValidation sqref="L2:L122" showDropDown="0" showInputMessage="0" showErrorMessage="0" allowBlank="1" type="list">
      <formula1>"Chưa test,Đạt,Lỗi,Bỏ qua"</formula1>
    </dataValidation>
    <dataValidation sqref="J2:J122" showDropDown="0" showInputMessage="0" showErrorMessage="0" allowBlank="1" type="list">
      <formula1>"Cao,Trung bình,Thấp"</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2026-10-28T02:07:37Z</dcterms:created>
  <dcterms:modified xsi:type="dcterms:W3CDTF">2026-10-28T02:07:37Z</dcterms:modified>
</cp:coreProperties>
</file>