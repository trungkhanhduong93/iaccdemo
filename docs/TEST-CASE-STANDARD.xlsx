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IPOS\IACC CLOUD\DESIGN IACC\docs\"/>
    </mc:Choice>
  </mc:AlternateContent>
  <xr:revisionPtr revIDLastSave="0" documentId="13_ncr:1_{E9A16C68-6214-44BE-BDFB-24367DC6587A}" xr6:coauthVersionLast="47" xr6:coauthVersionMax="47" xr10:uidLastSave="{00000000-0000-0000-0000-000000000000}"/>
  <bookViews>
    <workbookView xWindow="-108" yWindow="-108" windowWidth="23256" windowHeight="12456" activeTab="2" xr2:uid="{00000000-000D-0000-FFFF-FFFF00000000}"/>
  </bookViews>
  <sheets>
    <sheet name="Tổng hợp" sheetId="1" r:id="rId1"/>
    <sheet name="Checklist" sheetId="2" r:id="rId2"/>
    <sheet name="Web" sheetId="3" r:id="rId3"/>
    <sheet name="App" sheetId="4" r:id="rId4"/>
  </sheets>
  <definedNames>
    <definedName name="_xlnm._FilterDatabase" localSheetId="3" hidden="1">App!$A$1:$O$122</definedName>
    <definedName name="_xlnm._FilterDatabase" localSheetId="1" hidden="1">Checklist!$A$4:$H$293</definedName>
    <definedName name="_xlnm._FilterDatabase" localSheetId="2" hidden="1">Web!$A$1:$J$155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3" i="2" l="1"/>
  <c r="A293" i="2"/>
  <c r="G292" i="2"/>
  <c r="A292" i="2"/>
  <c r="G291" i="2"/>
  <c r="A291" i="2"/>
  <c r="G290" i="2"/>
  <c r="G289" i="2"/>
  <c r="A289" i="2"/>
  <c r="G288" i="2"/>
  <c r="A288" i="2"/>
  <c r="G287" i="2"/>
  <c r="A287" i="2"/>
  <c r="G286" i="2"/>
  <c r="A286" i="2"/>
  <c r="G285" i="2"/>
  <c r="A285" i="2"/>
  <c r="G284" i="2"/>
  <c r="A284" i="2"/>
  <c r="G283" i="2"/>
  <c r="A283" i="2"/>
  <c r="G282" i="2"/>
  <c r="A282" i="2"/>
  <c r="G281" i="2"/>
  <c r="A281" i="2"/>
  <c r="G280" i="2"/>
  <c r="A280" i="2"/>
  <c r="G279" i="2"/>
  <c r="A279" i="2"/>
  <c r="G278" i="2"/>
  <c r="A278" i="2"/>
  <c r="G277" i="2"/>
  <c r="A277" i="2"/>
  <c r="G276" i="2"/>
  <c r="A276" i="2"/>
  <c r="G275" i="2"/>
  <c r="A275" i="2"/>
  <c r="G274" i="2"/>
  <c r="A274" i="2"/>
  <c r="G273" i="2"/>
  <c r="A273" i="2"/>
  <c r="G272" i="2"/>
  <c r="A272" i="2"/>
  <c r="G271" i="2"/>
  <c r="A271" i="2"/>
  <c r="G270" i="2"/>
  <c r="A270" i="2"/>
  <c r="G269" i="2"/>
  <c r="A269" i="2"/>
  <c r="G268" i="2"/>
  <c r="A268" i="2"/>
  <c r="G267" i="2"/>
  <c r="A267" i="2"/>
  <c r="G266" i="2"/>
  <c r="G265" i="2"/>
  <c r="A265" i="2"/>
  <c r="G264" i="2"/>
  <c r="A264" i="2"/>
  <c r="G263" i="2"/>
  <c r="G262" i="2"/>
  <c r="A262" i="2"/>
  <c r="G261" i="2"/>
  <c r="A261" i="2" s="1"/>
  <c r="G260" i="2"/>
  <c r="G258" i="2"/>
  <c r="A258" i="2" s="1"/>
  <c r="G257" i="2"/>
  <c r="A257" i="2" s="1"/>
  <c r="G256" i="2"/>
  <c r="A256" i="2" s="1"/>
  <c r="G255" i="2"/>
  <c r="A255" i="2" s="1"/>
  <c r="G254" i="2"/>
  <c r="A254" i="2" s="1"/>
  <c r="G253" i="2"/>
  <c r="A253" i="2" s="1"/>
  <c r="G252" i="2"/>
  <c r="A252" i="2" s="1"/>
  <c r="G251" i="2"/>
  <c r="A251" i="2" s="1"/>
  <c r="G250" i="2"/>
  <c r="A250" i="2" s="1"/>
  <c r="G249" i="2"/>
  <c r="A249" i="2" s="1"/>
  <c r="G248" i="2"/>
  <c r="A248" i="2" s="1"/>
  <c r="G247" i="2"/>
  <c r="G245" i="2"/>
  <c r="A245" i="2"/>
  <c r="G244" i="2"/>
  <c r="A244" i="2"/>
  <c r="G243" i="2"/>
  <c r="A243" i="2"/>
  <c r="G242" i="2"/>
  <c r="A242" i="2"/>
  <c r="G241" i="2"/>
  <c r="A241" i="2"/>
  <c r="G240" i="2"/>
  <c r="A240" i="2"/>
  <c r="G239" i="2"/>
  <c r="A239" i="2"/>
  <c r="G238" i="2"/>
  <c r="A238" i="2"/>
  <c r="G237" i="2"/>
  <c r="A237" i="2"/>
  <c r="G236" i="2"/>
  <c r="A236" i="2"/>
  <c r="G235" i="2"/>
  <c r="A235" i="2"/>
  <c r="G234" i="2"/>
  <c r="A234" i="2"/>
  <c r="G233" i="2"/>
  <c r="A233" i="2"/>
  <c r="G232" i="2"/>
  <c r="A232" i="2"/>
  <c r="G231" i="2"/>
  <c r="A231" i="2"/>
  <c r="G230" i="2"/>
  <c r="A230" i="2"/>
  <c r="G229" i="2"/>
  <c r="A229" i="2"/>
  <c r="G228" i="2"/>
  <c r="A228" i="2" s="1"/>
  <c r="G227" i="2"/>
  <c r="A227" i="2" s="1"/>
  <c r="G226" i="2"/>
  <c r="A226" i="2" s="1"/>
  <c r="G225" i="2"/>
  <c r="A225" i="2" s="1"/>
  <c r="G224" i="2"/>
  <c r="A224" i="2" s="1"/>
  <c r="G223" i="2"/>
  <c r="A223" i="2" s="1"/>
  <c r="G222" i="2"/>
  <c r="A222" i="2" s="1"/>
  <c r="G221" i="2"/>
  <c r="A221" i="2" s="1"/>
  <c r="G220" i="2"/>
  <c r="A220" i="2" s="1"/>
  <c r="G219" i="2"/>
  <c r="A219" i="2" s="1"/>
  <c r="G218" i="2"/>
  <c r="A218" i="2" s="1"/>
  <c r="G217" i="2"/>
  <c r="G216" i="2"/>
  <c r="A216" i="2" s="1"/>
  <c r="G215" i="2"/>
  <c r="A215" i="2" s="1"/>
  <c r="G214" i="2"/>
  <c r="A214" i="2"/>
  <c r="G213" i="2"/>
  <c r="A213" i="2"/>
  <c r="G212" i="2"/>
  <c r="A212" i="2" s="1"/>
  <c r="G211" i="2"/>
  <c r="A211" i="2" s="1"/>
  <c r="G210" i="2"/>
  <c r="A210" i="2" s="1"/>
  <c r="G209" i="2"/>
  <c r="A209" i="2" s="1"/>
  <c r="G208" i="2"/>
  <c r="A208" i="2" s="1"/>
  <c r="G207" i="2"/>
  <c r="G205" i="2"/>
  <c r="A205" i="2" s="1"/>
  <c r="G204" i="2"/>
  <c r="A204" i="2" s="1"/>
  <c r="G203" i="2"/>
  <c r="A203" i="2" s="1"/>
  <c r="G202" i="2"/>
  <c r="A202" i="2" s="1"/>
  <c r="G201" i="2"/>
  <c r="A201" i="2" s="1"/>
  <c r="G200" i="2"/>
  <c r="A200" i="2" s="1"/>
  <c r="G199" i="2"/>
  <c r="A199" i="2" s="1"/>
  <c r="G198" i="2"/>
  <c r="A198" i="2" s="1"/>
  <c r="G197" i="2"/>
  <c r="A197" i="2" s="1"/>
  <c r="G196" i="2"/>
  <c r="A196" i="2" s="1"/>
  <c r="G195" i="2"/>
  <c r="G194" i="2"/>
  <c r="A194" i="2" s="1"/>
  <c r="G193" i="2"/>
  <c r="A193" i="2" s="1"/>
  <c r="G191" i="2"/>
  <c r="A191" i="2" s="1"/>
  <c r="G190" i="2"/>
  <c r="A190" i="2" s="1"/>
  <c r="G189" i="2"/>
  <c r="A189" i="2"/>
  <c r="G188" i="2"/>
  <c r="A188" i="2" s="1"/>
  <c r="G187" i="2"/>
  <c r="A187" i="2" s="1"/>
  <c r="G186" i="2"/>
  <c r="A186" i="2" s="1"/>
  <c r="G185" i="2"/>
  <c r="A185" i="2" s="1"/>
  <c r="G184" i="2"/>
  <c r="A184" i="2" s="1"/>
  <c r="G183" i="2"/>
  <c r="A183" i="2" s="1"/>
  <c r="G182" i="2"/>
  <c r="A182" i="2" s="1"/>
  <c r="G181" i="2"/>
  <c r="A181" i="2" s="1"/>
  <c r="G180" i="2"/>
  <c r="A180" i="2" s="1"/>
  <c r="G179" i="2"/>
  <c r="A179" i="2" s="1"/>
  <c r="G178" i="2"/>
  <c r="A178" i="2" s="1"/>
  <c r="G177" i="2"/>
  <c r="A177" i="2" s="1"/>
  <c r="G176" i="2"/>
  <c r="G174" i="2"/>
  <c r="A174" i="2" s="1"/>
  <c r="G173" i="2"/>
  <c r="A173" i="2" s="1"/>
  <c r="G172" i="2"/>
  <c r="A172" i="2" s="1"/>
  <c r="G171" i="2"/>
  <c r="A171" i="2" s="1"/>
  <c r="G170" i="2"/>
  <c r="A170" i="2" s="1"/>
  <c r="G169" i="2"/>
  <c r="A169" i="2" s="1"/>
  <c r="G168" i="2"/>
  <c r="A168" i="2" s="1"/>
  <c r="G167" i="2"/>
  <c r="A167" i="2" s="1"/>
  <c r="G166" i="2"/>
  <c r="A166" i="2" s="1"/>
  <c r="G165" i="2"/>
  <c r="A165" i="2"/>
  <c r="G164" i="2"/>
  <c r="A164" i="2" s="1"/>
  <c r="G163" i="2"/>
  <c r="A163" i="2" s="1"/>
  <c r="G162" i="2"/>
  <c r="A162" i="2" s="1"/>
  <c r="G161" i="2"/>
  <c r="A161" i="2" s="1"/>
  <c r="G160" i="2"/>
  <c r="A160" i="2" s="1"/>
  <c r="G159" i="2"/>
  <c r="A159" i="2" s="1"/>
  <c r="G158" i="2"/>
  <c r="A158" i="2" s="1"/>
  <c r="G157" i="2"/>
  <c r="A157" i="2" s="1"/>
  <c r="G156" i="2"/>
  <c r="G154" i="2"/>
  <c r="A154" i="2" s="1"/>
  <c r="G153" i="2"/>
  <c r="A153" i="2" s="1"/>
  <c r="G152" i="2"/>
  <c r="A152" i="2" s="1"/>
  <c r="G151" i="2"/>
  <c r="A151" i="2" s="1"/>
  <c r="G150" i="2"/>
  <c r="A150" i="2" s="1"/>
  <c r="G149" i="2"/>
  <c r="A149" i="2" s="1"/>
  <c r="G148" i="2"/>
  <c r="A148" i="2" s="1"/>
  <c r="G147" i="2"/>
  <c r="A147" i="2" s="1"/>
  <c r="G146" i="2"/>
  <c r="A146" i="2" s="1"/>
  <c r="G145" i="2"/>
  <c r="A145" i="2" s="1"/>
  <c r="G144" i="2"/>
  <c r="A144" i="2" s="1"/>
  <c r="G143" i="2"/>
  <c r="G142" i="2"/>
  <c r="A142" i="2" s="1"/>
  <c r="G140" i="2"/>
  <c r="A140" i="2" s="1"/>
  <c r="G139" i="2"/>
  <c r="A139" i="2" s="1"/>
  <c r="G138" i="2"/>
  <c r="A138" i="2" s="1"/>
  <c r="G137" i="2"/>
  <c r="A137" i="2" s="1"/>
  <c r="G136" i="2"/>
  <c r="A136" i="2" s="1"/>
  <c r="G135" i="2"/>
  <c r="A135" i="2" s="1"/>
  <c r="G134" i="2"/>
  <c r="A134" i="2" s="1"/>
  <c r="G133" i="2"/>
  <c r="A133" i="2" s="1"/>
  <c r="G132" i="2"/>
  <c r="A132" i="2" s="1"/>
  <c r="G131" i="2"/>
  <c r="A131" i="2" s="1"/>
  <c r="G130" i="2"/>
  <c r="A130" i="2" s="1"/>
  <c r="G129" i="2"/>
  <c r="A129" i="2" s="1"/>
  <c r="G128" i="2"/>
  <c r="A128" i="2" s="1"/>
  <c r="G127" i="2"/>
  <c r="A127" i="2" s="1"/>
  <c r="G126" i="2"/>
  <c r="A126" i="2" s="1"/>
  <c r="G125" i="2"/>
  <c r="A125" i="2" s="1"/>
  <c r="G124" i="2"/>
  <c r="A124" i="2" s="1"/>
  <c r="G123" i="2"/>
  <c r="A123" i="2" s="1"/>
  <c r="G122" i="2"/>
  <c r="A122" i="2" s="1"/>
  <c r="G121" i="2"/>
  <c r="A121" i="2" s="1"/>
  <c r="G120" i="2"/>
  <c r="A120" i="2" s="1"/>
  <c r="G119" i="2"/>
  <c r="A119" i="2" s="1"/>
  <c r="G118" i="2"/>
  <c r="A118" i="2" s="1"/>
  <c r="G117" i="2"/>
  <c r="A117" i="2" s="1"/>
  <c r="G116" i="2"/>
  <c r="A116" i="2" s="1"/>
  <c r="G115" i="2"/>
  <c r="A115" i="2" s="1"/>
  <c r="G114" i="2"/>
  <c r="G113" i="2"/>
  <c r="A113" i="2" s="1"/>
  <c r="G112" i="2"/>
  <c r="A112" i="2" s="1"/>
  <c r="G111" i="2"/>
  <c r="A111" i="2" s="1"/>
  <c r="G110" i="2"/>
  <c r="A110" i="2" s="1"/>
  <c r="G109" i="2"/>
  <c r="A109" i="2" s="1"/>
  <c r="G108" i="2"/>
  <c r="A108" i="2" s="1"/>
  <c r="G107" i="2"/>
  <c r="A107" i="2" s="1"/>
  <c r="G106" i="2"/>
  <c r="A106" i="2" s="1"/>
  <c r="G105" i="2"/>
  <c r="A105" i="2" s="1"/>
  <c r="G103" i="2"/>
  <c r="A103" i="2" s="1"/>
  <c r="G102" i="2"/>
  <c r="A102" i="2" s="1"/>
  <c r="G101" i="2"/>
  <c r="A101" i="2" s="1"/>
  <c r="G100" i="2"/>
  <c r="A100" i="2" s="1"/>
  <c r="G99" i="2"/>
  <c r="G98" i="2"/>
  <c r="A98" i="2" s="1"/>
  <c r="G97" i="2"/>
  <c r="A97" i="2" s="1"/>
  <c r="G96" i="2"/>
  <c r="A96" i="2" s="1"/>
  <c r="G95" i="2"/>
  <c r="A95" i="2" s="1"/>
  <c r="G94" i="2"/>
  <c r="A94" i="2" s="1"/>
  <c r="G93" i="2"/>
  <c r="A93" i="2" s="1"/>
  <c r="G92" i="2"/>
  <c r="A92" i="2" s="1"/>
  <c r="G91" i="2"/>
  <c r="A91" i="2" s="1"/>
  <c r="G90" i="2"/>
  <c r="A90" i="2" s="1"/>
  <c r="G89" i="2"/>
  <c r="A89" i="2" s="1"/>
  <c r="G88" i="2"/>
  <c r="A88" i="2" s="1"/>
  <c r="G86" i="2"/>
  <c r="A86" i="2"/>
  <c r="G85" i="2"/>
  <c r="A85" i="2"/>
  <c r="G84" i="2"/>
  <c r="A84" i="2"/>
  <c r="G83" i="2"/>
  <c r="A83" i="2"/>
  <c r="G82" i="2"/>
  <c r="A82" i="2"/>
  <c r="G81" i="2"/>
  <c r="A81" i="2"/>
  <c r="G80" i="2"/>
  <c r="A80" i="2" s="1"/>
  <c r="G79" i="2"/>
  <c r="A79" i="2" s="1"/>
  <c r="G78" i="2"/>
  <c r="A78" i="2" s="1"/>
  <c r="G77" i="2"/>
  <c r="A77" i="2" s="1"/>
  <c r="G76" i="2"/>
  <c r="A76" i="2" s="1"/>
  <c r="G75" i="2"/>
  <c r="A75" i="2" s="1"/>
  <c r="G74" i="2"/>
  <c r="A74" i="2" s="1"/>
  <c r="G73" i="2"/>
  <c r="A73" i="2" s="1"/>
  <c r="G72" i="2"/>
  <c r="A72" i="2" s="1"/>
  <c r="G71" i="2"/>
  <c r="A71" i="2" s="1"/>
  <c r="G70" i="2"/>
  <c r="A70" i="2" s="1"/>
  <c r="G69" i="2"/>
  <c r="A69" i="2" s="1"/>
  <c r="G68" i="2"/>
  <c r="A68" i="2" s="1"/>
  <c r="G67" i="2"/>
  <c r="A67" i="2" s="1"/>
  <c r="G66" i="2"/>
  <c r="A66" i="2" s="1"/>
  <c r="G65" i="2"/>
  <c r="A65" i="2" s="1"/>
  <c r="G64" i="2"/>
  <c r="A64" i="2" s="1"/>
  <c r="G63" i="2"/>
  <c r="A63" i="2" s="1"/>
  <c r="G62" i="2"/>
  <c r="A62" i="2" s="1"/>
  <c r="G61" i="2"/>
  <c r="A61" i="2" s="1"/>
  <c r="G60" i="2"/>
  <c r="A60" i="2" s="1"/>
  <c r="G59" i="2"/>
  <c r="A59" i="2" s="1"/>
  <c r="G58" i="2"/>
  <c r="A58" i="2" s="1"/>
  <c r="G57" i="2"/>
  <c r="A57" i="2" s="1"/>
  <c r="G56" i="2"/>
  <c r="A56" i="2" s="1"/>
  <c r="G55" i="2"/>
  <c r="A55" i="2" s="1"/>
  <c r="G54" i="2"/>
  <c r="A54" i="2" s="1"/>
  <c r="G53" i="2"/>
  <c r="A53" i="2" s="1"/>
  <c r="G52" i="2"/>
  <c r="A52" i="2" s="1"/>
  <c r="G51" i="2"/>
  <c r="A51" i="2" s="1"/>
  <c r="G50" i="2"/>
  <c r="A50" i="2" s="1"/>
  <c r="G49" i="2"/>
  <c r="A49" i="2" s="1"/>
  <c r="G48" i="2"/>
  <c r="A48" i="2" s="1"/>
  <c r="G47" i="2"/>
  <c r="A47" i="2" s="1"/>
  <c r="G46" i="2"/>
  <c r="G44" i="2"/>
  <c r="A44" i="2" s="1"/>
  <c r="G43" i="2"/>
  <c r="A43" i="2" s="1"/>
  <c r="G42" i="2"/>
  <c r="A42" i="2" s="1"/>
  <c r="G41" i="2"/>
  <c r="A41" i="2" s="1"/>
  <c r="G40" i="2"/>
  <c r="A40" i="2" s="1"/>
  <c r="G39" i="2"/>
  <c r="A39" i="2" s="1"/>
  <c r="G38" i="2"/>
  <c r="A38" i="2" s="1"/>
  <c r="G37" i="2"/>
  <c r="A37" i="2" s="1"/>
  <c r="G36" i="2"/>
  <c r="A36" i="2" s="1"/>
  <c r="G35" i="2"/>
  <c r="A35" i="2" s="1"/>
  <c r="G34" i="2"/>
  <c r="A34" i="2" s="1"/>
  <c r="G33" i="2"/>
  <c r="G32" i="2"/>
  <c r="A32" i="2" s="1"/>
  <c r="G31" i="2"/>
  <c r="A31" i="2" s="1"/>
  <c r="G30" i="2"/>
  <c r="A30" i="2" s="1"/>
  <c r="G28" i="2"/>
  <c r="A28" i="2" s="1"/>
  <c r="G27" i="2"/>
  <c r="A27" i="2" s="1"/>
  <c r="G26" i="2"/>
  <c r="A26" i="2" s="1"/>
  <c r="G25" i="2"/>
  <c r="A25" i="2" s="1"/>
  <c r="G24" i="2"/>
  <c r="A24" i="2" s="1"/>
  <c r="G23" i="2"/>
  <c r="A23" i="2" s="1"/>
  <c r="G22" i="2"/>
  <c r="A22" i="2"/>
  <c r="G21" i="2"/>
  <c r="A21" i="2" s="1"/>
  <c r="G20" i="2"/>
  <c r="A20" i="2" s="1"/>
  <c r="G19" i="2"/>
  <c r="A19" i="2" s="1"/>
  <c r="G18" i="2"/>
  <c r="A18" i="2" s="1"/>
  <c r="G17" i="2"/>
  <c r="A17" i="2" s="1"/>
  <c r="G16" i="2"/>
  <c r="A16" i="2" s="1"/>
  <c r="G15" i="2"/>
  <c r="A15" i="2" s="1"/>
  <c r="G14" i="2"/>
  <c r="A14" i="2" s="1"/>
  <c r="G13" i="2"/>
  <c r="A13" i="2" s="1"/>
  <c r="G12" i="2"/>
  <c r="A12" i="2" s="1"/>
  <c r="G11" i="2"/>
  <c r="A11" i="2" s="1"/>
  <c r="G10" i="2"/>
  <c r="A10" i="2" s="1"/>
  <c r="G9" i="2"/>
  <c r="A9" i="2" s="1"/>
  <c r="G8" i="2"/>
  <c r="A8" i="2" s="1"/>
  <c r="G7" i="2"/>
  <c r="G6" i="2"/>
  <c r="A6" i="2" s="1"/>
  <c r="F36" i="1"/>
  <c r="E36" i="1"/>
  <c r="D36" i="1"/>
  <c r="C36" i="1"/>
  <c r="B36" i="1"/>
  <c r="G36" i="1" s="1"/>
  <c r="F35" i="1"/>
  <c r="E35" i="1"/>
  <c r="D35" i="1"/>
  <c r="C35" i="1"/>
  <c r="B35" i="1"/>
  <c r="G35" i="1" s="1"/>
  <c r="F34" i="1"/>
  <c r="E34" i="1"/>
  <c r="D34" i="1"/>
  <c r="C34" i="1"/>
  <c r="B34" i="1"/>
  <c r="G34" i="1" s="1"/>
  <c r="F33" i="1"/>
  <c r="E33" i="1"/>
  <c r="D33" i="1"/>
  <c r="C33" i="1"/>
  <c r="B33" i="1"/>
  <c r="G33" i="1" s="1"/>
  <c r="F32" i="1"/>
  <c r="E32" i="1"/>
  <c r="D32" i="1"/>
  <c r="C32" i="1"/>
  <c r="B32" i="1"/>
  <c r="G32" i="1" s="1"/>
  <c r="F31" i="1"/>
  <c r="E31" i="1"/>
  <c r="D31" i="1"/>
  <c r="C31" i="1"/>
  <c r="B31" i="1"/>
  <c r="G31" i="1" s="1"/>
  <c r="F30" i="1"/>
  <c r="E30" i="1"/>
  <c r="D30" i="1"/>
  <c r="C30" i="1"/>
  <c r="B30" i="1"/>
  <c r="G30" i="1" s="1"/>
  <c r="F29" i="1"/>
  <c r="E29" i="1"/>
  <c r="D29" i="1"/>
  <c r="C29" i="1"/>
  <c r="B29" i="1"/>
  <c r="G29" i="1" s="1"/>
  <c r="F28" i="1"/>
  <c r="E28" i="1"/>
  <c r="D28" i="1"/>
  <c r="C28" i="1"/>
  <c r="B28" i="1"/>
  <c r="G28" i="1" s="1"/>
  <c r="F27" i="1"/>
  <c r="E27" i="1"/>
  <c r="D27" i="1"/>
  <c r="C27" i="1"/>
  <c r="B27" i="1"/>
  <c r="G27" i="1" s="1"/>
  <c r="F26" i="1"/>
  <c r="E26" i="1"/>
  <c r="D26" i="1"/>
  <c r="C26" i="1"/>
  <c r="B26" i="1"/>
  <c r="G26" i="1" s="1"/>
  <c r="F25" i="1"/>
  <c r="E25" i="1"/>
  <c r="D25" i="1"/>
  <c r="C25" i="1"/>
  <c r="B25" i="1"/>
  <c r="G25" i="1" s="1"/>
  <c r="F24" i="1"/>
  <c r="E24" i="1"/>
  <c r="D24" i="1"/>
  <c r="C24" i="1"/>
  <c r="B24" i="1"/>
  <c r="G24" i="1" s="1"/>
  <c r="F23" i="1"/>
  <c r="F37" i="1" s="1"/>
  <c r="E23" i="1"/>
  <c r="E37" i="1" s="1"/>
  <c r="D23" i="1"/>
  <c r="D37" i="1" s="1"/>
  <c r="C23" i="1"/>
  <c r="C37" i="1" s="1"/>
  <c r="B23" i="1"/>
  <c r="F18" i="1"/>
  <c r="E18" i="1"/>
  <c r="D18" i="1"/>
  <c r="C18" i="1"/>
  <c r="B18" i="1"/>
  <c r="F17" i="1"/>
  <c r="E17" i="1"/>
  <c r="D17" i="1"/>
  <c r="C17" i="1"/>
  <c r="B17" i="1"/>
  <c r="F16" i="1"/>
  <c r="E16" i="1"/>
  <c r="D16" i="1"/>
  <c r="C16" i="1"/>
  <c r="B16" i="1"/>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A33" i="2" l="1"/>
  <c r="G29" i="2"/>
  <c r="D19" i="1"/>
  <c r="D39" i="1" s="1"/>
  <c r="E19" i="1"/>
  <c r="E39" i="1" s="1"/>
  <c r="A46" i="2"/>
  <c r="G45" i="2"/>
  <c r="G16" i="1"/>
  <c r="C19" i="1"/>
  <c r="C39" i="1" s="1"/>
  <c r="G15" i="1"/>
  <c r="G14" i="1"/>
  <c r="A247" i="2"/>
  <c r="G246" i="2"/>
  <c r="A143" i="2"/>
  <c r="G141" i="2"/>
  <c r="G18" i="1"/>
  <c r="G17" i="1"/>
  <c r="G13" i="1"/>
  <c r="G12" i="1"/>
  <c r="G11" i="1"/>
  <c r="G10" i="1"/>
  <c r="G8" i="1"/>
  <c r="G9" i="1"/>
  <c r="F19" i="1"/>
  <c r="F39" i="1" s="1"/>
  <c r="G7" i="1"/>
  <c r="A260" i="2"/>
  <c r="G259" i="2"/>
  <c r="A207" i="2"/>
  <c r="G206" i="2"/>
  <c r="G192" i="2"/>
  <c r="A195" i="2"/>
  <c r="G175" i="2"/>
  <c r="A176" i="2"/>
  <c r="A156" i="2"/>
  <c r="G155" i="2"/>
  <c r="A114" i="2"/>
  <c r="G104" i="2"/>
  <c r="A99" i="2"/>
  <c r="G87" i="2"/>
  <c r="A7" i="2"/>
  <c r="G5" i="2"/>
  <c r="B37" i="1"/>
  <c r="G37" i="1" s="1"/>
  <c r="G23" i="1"/>
  <c r="B19" i="1"/>
  <c r="G6" i="1"/>
  <c r="G19" i="1" l="1"/>
  <c r="B39" i="1"/>
  <c r="G39" i="1" s="1"/>
</calcChain>
</file>

<file path=xl/sharedStrings.xml><?xml version="1.0" encoding="utf-8"?>
<sst xmlns="http://schemas.openxmlformats.org/spreadsheetml/2006/main" count="3715" uniqueCount="1285">
  <si>
    <t>Test case gói Standard – IACC Cloud</t>
  </si>
  <si>
    <t>Web dựa trên docs/TONG-KET-LOGIC-STANDARD.md và danh sách màn trong src/app/registry.ts; App dựa trên src/ui/mobile/. Số liệu tự đếm từ hai sheet Web, App.</t>
  </si>
  <si>
    <t>Web</t>
  </si>
  <si>
    <t>Phân hệ</t>
  </si>
  <si>
    <t>Tổng</t>
  </si>
  <si>
    <t>Đạt</t>
  </si>
  <si>
    <t>Lỗi</t>
  </si>
  <si>
    <t>Bỏ qua</t>
  </si>
  <si>
    <t>Chưa test</t>
  </si>
  <si>
    <t>% Đã test</t>
  </si>
  <si>
    <t>Khung app</t>
  </si>
  <si>
    <t>Đăng nhập, khởi tạo</t>
  </si>
  <si>
    <t>Trang chủ</t>
  </si>
  <si>
    <t>Danh mục</t>
  </si>
  <si>
    <t>Thu chi</t>
  </si>
  <si>
    <t>Kế toán bán hàng</t>
  </si>
  <si>
    <t>Kế toán mua hàng</t>
  </si>
  <si>
    <t>Kiểm kê</t>
  </si>
  <si>
    <t>Chi phí phân bổ</t>
  </si>
  <si>
    <t>Kê khai thuế</t>
  </si>
  <si>
    <t>Báo cáo</t>
  </si>
  <si>
    <t>Hệ thống</t>
  </si>
  <si>
    <t>Doanh nghiệp TT58</t>
  </si>
  <si>
    <t>Tổng Web</t>
  </si>
  <si>
    <t>App</t>
  </si>
  <si>
    <t>Tìm kiếm</t>
  </si>
  <si>
    <t>Tab Khác</t>
  </si>
  <si>
    <t>Xem phiếu</t>
  </si>
  <si>
    <t>Tổng App</t>
  </si>
  <si>
    <t>Cả hai</t>
  </si>
  <si>
    <t>Cách dùng</t>
  </si>
  <si>
    <t>• Sheet Web: test trên máy tính (màn rộng từ 768px). Sheet App: test app điện thoại (màn rộng dưới 768px, hoặc chế độ điện thoại của trình duyệt).</t>
  </si>
  <si>
    <t>• Mỗi dòng là một ca kiểm. Làm theo cột Các bước, so với Kết quả mong đợi.</t>
  </si>
  <si>
    <t>• Chỉ điền các cột nền vàng: Kết quả thực tế, Trạng thái (Chưa test / Đạt / Lỗi / Bỏ qua), Người test, Ngày test, Ghi chú.</t>
  </si>
  <si>
    <t>• Lỗi thì ghi rõ hiện tượng ở Kết quả thực tế, rồi thêm việc mới vào docs/TIEN-DO.md.</t>
  </si>
  <si>
    <t>• Tiền điều kiện mặc định: đơn vị Phố Mây gói Standard, hộ kinh doanh TT152. Test xong trả phiên về đơn vị này.</t>
  </si>
  <si>
    <t>• Số liệu là dữ liệu giả; tháng 7–10/2026 có dữ liệu để đối chiếu.</t>
  </si>
  <si>
    <t>Ví dụ một dòng đã test: Trạng thái Đạt, Người test PhuongXT, Ngày test 28/10/2026, Kết quả thực tế 'Đúng như mong đợi'.</t>
  </si>
  <si>
    <t>Checklist test gói Standard</t>
  </si>
  <si>
    <t>Trạng thái tự lấy từ sheet Web, App: điền kết quả ở hai sheet đó, không điền ở đây. ☑ Đạt · ✗ Lỗi · – Bỏ qua · ☐ Chưa test.</t>
  </si>
  <si>
    <t>✓</t>
  </si>
  <si>
    <t>STT</t>
  </si>
  <si>
    <t>Nền tảng</t>
  </si>
  <si>
    <t>Màn hình</t>
  </si>
  <si>
    <t>Nội dung kiểm</t>
  </si>
  <si>
    <t>Mã TC</t>
  </si>
  <si>
    <t>Trạng thái</t>
  </si>
  <si>
    <t>Ưu tiên</t>
  </si>
  <si>
    <t>Sidebar</t>
  </si>
  <si>
    <t>Sidebar chỉ hiện phân hệ của gói Standard</t>
  </si>
  <si>
    <t>W-KA-001</t>
  </si>
  <si>
    <t>Cao</t>
  </si>
  <si>
    <t>Phân hệ Kho đổi tên thành Kiểm kê</t>
  </si>
  <si>
    <t>W-KA-002</t>
  </si>
  <si>
    <t>Trung bình</t>
  </si>
  <si>
    <t>Tính năng ngoài gói ẩn hẳn, không có ổ khoá mời nâng cấp (QD22)</t>
  </si>
  <si>
    <t>W-KA-003</t>
  </si>
  <si>
    <t>Bấm logo về Tổng quan</t>
  </si>
  <si>
    <t>W-KA-004</t>
  </si>
  <si>
    <t>Mở màn</t>
  </si>
  <si>
    <t>Vào /app luôn về Tổng quan, không có Bàn làm việc</t>
  </si>
  <si>
    <t>W-KA-005</t>
  </si>
  <si>
    <t>Gõ đường dẫn màn ngoài gói thì về màn đầu phân hệ</t>
  </si>
  <si>
    <t>W-KA-006</t>
  </si>
  <si>
    <t>Thanh trên</t>
  </si>
  <si>
    <t>Đổi đơn vị kế toán</t>
  </si>
  <si>
    <t>W-KA-007</t>
  </si>
  <si>
    <t>Chọn cửa hàng làm việc lọc danh sách, báo cáo</t>
  </si>
  <si>
    <t>W-KA-008</t>
  </si>
  <si>
    <t>Đang xem Tất cả cửa hàng thì phải chọn cửa hàng trước khi lập phiếu</t>
  </si>
  <si>
    <t>W-KA-009</t>
  </si>
  <si>
    <t>Chip Dùng thử còn N ngày</t>
  </si>
  <si>
    <t>W-KA-010</t>
  </si>
  <si>
    <t>Gói Standard ẩn chuông thông báo, menu tài khoản ẩn Người dùng</t>
  </si>
  <si>
    <t>W-KA-011</t>
  </si>
  <si>
    <t>Tìm nhanh (Ctrl+K)</t>
  </si>
  <si>
    <t>Tìm màn bằng chữ không dấu</t>
  </si>
  <si>
    <t>W-KA-012</t>
  </si>
  <si>
    <t>Tìm nhanh không ra màn ngoài gói</t>
  </si>
  <si>
    <t>W-KA-013</t>
  </si>
  <si>
    <t>Thao tác nhanh</t>
  </si>
  <si>
    <t>Thao tác nhanh mặc định và tuỳ chỉnh</t>
  </si>
  <si>
    <t>W-KA-014</t>
  </si>
  <si>
    <t>Thanh tab đáy</t>
  </si>
  <si>
    <t>4 tab đáy và tab đang sáng</t>
  </si>
  <si>
    <t>A-KA-001</t>
  </si>
  <si>
    <t>Ẩn hiện khi cuộn</t>
  </si>
  <si>
    <t>A-KA-002</t>
  </si>
  <si>
    <t>Ẩn thanh tab ở màn cấp 2</t>
  </si>
  <si>
    <t>A-KA-003</t>
  </si>
  <si>
    <t>Chip chọn cửa hàng</t>
  </si>
  <si>
    <t>A-KA-004</t>
  </si>
  <si>
    <t>Lập phiếu khi đang xem Tất cả cửa hàng</t>
  </si>
  <si>
    <t>A-KA-005</t>
  </si>
  <si>
    <t>Nút Bộ lọc báo cáo</t>
  </si>
  <si>
    <t>A-KA-006</t>
  </si>
  <si>
    <t>Chỉ dùng trên máy tính</t>
  </si>
  <si>
    <t>Màn chưa có bản điện thoại</t>
  </si>
  <si>
    <t>A-KA-007</t>
  </si>
  <si>
    <t>Thấp</t>
  </si>
  <si>
    <t>Đổi cỡ màn</t>
  </si>
  <si>
    <t>Chuyển qua lại web và app</t>
  </si>
  <si>
    <t>A-KA-008</t>
  </si>
  <si>
    <t>Ngoài gói</t>
  </si>
  <si>
    <t>Không hiện tính năng ngoài gói</t>
  </si>
  <si>
    <t>A-KA-009</t>
  </si>
  <si>
    <t>Đăng nhập</t>
  </si>
  <si>
    <t>Kiểm tra ô đăng nhập</t>
  </si>
  <si>
    <t>W-KT-001</t>
  </si>
  <si>
    <t>Chọn đơn vị</t>
  </si>
  <si>
    <t>Thẻ đơn vị ghi đủ thông tin</t>
  </si>
  <si>
    <t>W-KT-002</t>
  </si>
  <si>
    <t>Mở từ FABi</t>
  </si>
  <si>
    <t>Đi hết 4 màn mở từ FABi</t>
  </si>
  <si>
    <t>W-KT-003</t>
  </si>
  <si>
    <t>Phải chọn ít nhất 1 cửa hàng dùng thử</t>
  </si>
  <si>
    <t>W-KT-004</t>
  </si>
  <si>
    <t>Popup khởi tạo</t>
  </si>
  <si>
    <t>Popup bắt buộc, không đóng được, nhớ tiến độ</t>
  </si>
  <si>
    <t>W-KT-005</t>
  </si>
  <si>
    <t>Popup khởi tạo › B1 Loại hình</t>
  </si>
  <si>
    <t>Hộ kinh doanh: gợi ý nhóm theo doanh thu FABi</t>
  </si>
  <si>
    <t>W-KT-006</t>
  </si>
  <si>
    <t>Cảnh báo khi kê khai thuế không có ở gói Standard</t>
  </si>
  <si>
    <t>W-KT-007</t>
  </si>
  <si>
    <t>Popup khởi tạo › B2 Thông tin</t>
  </si>
  <si>
    <t>Bắt buộc nhập theo loại hình</t>
  </si>
  <si>
    <t>W-KT-008</t>
  </si>
  <si>
    <t>Tra cứu MST, ngày đầu năm tài chính</t>
  </si>
  <si>
    <t>W-KT-009</t>
  </si>
  <si>
    <t>Popup khởi tạo › B3 Cửa hàng</t>
  </si>
  <si>
    <t>Chọn cửa hàng lên sổ, cửa hàng chính</t>
  </si>
  <si>
    <t>W-KT-010</t>
  </si>
  <si>
    <t>Popup khởi tạo › Lấy dữ liệu</t>
  </si>
  <si>
    <t>Lấy dữ liệu FABi và bắt đầu làm việc</t>
  </si>
  <si>
    <t>W-KT-011</t>
  </si>
  <si>
    <t>Doanh thu FABi vào Xuất bán POS</t>
  </si>
  <si>
    <t>W-KT-012</t>
  </si>
  <si>
    <t>Đăng nhập trên điện thoại</t>
  </si>
  <si>
    <t>A-KT-001</t>
  </si>
  <si>
    <t>Mở từ FABi (điện thoại)</t>
  </si>
  <si>
    <t>4 màn mở từ FABi trên điện thoại</t>
  </si>
  <si>
    <t>A-KT-002</t>
  </si>
  <si>
    <t>Popup khởi tạo (điện thoại)</t>
  </si>
  <si>
    <t>Popup khởi tạo vừa màn điện thoại</t>
  </si>
  <si>
    <t>A-KT-003</t>
  </si>
  <si>
    <t>Tổng quan</t>
  </si>
  <si>
    <t>Bố cục trang chủ gói Standard</t>
  </si>
  <si>
    <t>W-TC-001</t>
  </si>
  <si>
    <t>Đổi Năm, Tháng đổi luôn tháng làm việc</t>
  </si>
  <si>
    <t>W-TC-002</t>
  </si>
  <si>
    <t>Nhắc khoá sổ</t>
  </si>
  <si>
    <t>W-TC-003</t>
  </si>
  <si>
    <t>5 thao tác nhanh mở đúng form</t>
  </si>
  <si>
    <t>W-TC-004</t>
  </si>
  <si>
    <t>Tổng quan › KQKD</t>
  </si>
  <si>
    <t>Công thức lợi nhuận</t>
  </si>
  <si>
    <t>W-TC-005</t>
  </si>
  <si>
    <t>Số liệu khớp màn chi tiết</t>
  </si>
  <si>
    <t>W-TC-006</t>
  </si>
  <si>
    <t>Biểu đồ hiệu quả 13 tháng</t>
  </si>
  <si>
    <t>W-TC-007</t>
  </si>
  <si>
    <t>Tổng quan › Quỹ tiền</t>
  </si>
  <si>
    <t>Tồn quỹ và chi tiết một quỹ</t>
  </si>
  <si>
    <t>W-TC-008</t>
  </si>
  <si>
    <t>Chưa có quỹ, menu Xem sổ</t>
  </si>
  <si>
    <t>W-TC-009</t>
  </si>
  <si>
    <t>Tổng quan › Mua hàng</t>
  </si>
  <si>
    <t>Giá trị mua và công nợ nhà cung cấp</t>
  </si>
  <si>
    <t>W-TC-010</t>
  </si>
  <si>
    <t>Nút Tạo phiếu mua, Thanh toán NCC</t>
  </si>
  <si>
    <t>W-TC-011</t>
  </si>
  <si>
    <t>Tổng quan › Hao hụt kiểm kê</t>
  </si>
  <si>
    <t>Hao hụt theo số lượng</t>
  </si>
  <si>
    <t>W-TC-012</t>
  </si>
  <si>
    <t>Nút Kiểm kê ngay, link báo cáo</t>
  </si>
  <si>
    <t>W-TC-013</t>
  </si>
  <si>
    <t>Chi phí hoạt động</t>
  </si>
  <si>
    <t>Bảng chi phí theo lý do</t>
  </si>
  <si>
    <t>W-TC-014</t>
  </si>
  <si>
    <t>Tính theo tháng ghi nhận, bỏ Chi phí chờ phân bổ</t>
  </si>
  <si>
    <t>W-TC-015</t>
  </si>
  <si>
    <t>Xuất Excel, Lập phiếu chi</t>
  </si>
  <si>
    <t>W-TC-016</t>
  </si>
  <si>
    <t>Chi phí NVL</t>
  </si>
  <si>
    <t>Xem tất cả cửa hàng</t>
  </si>
  <si>
    <t>W-TC-017</t>
  </si>
  <si>
    <t>Cách tính Theo iPOS Inventory</t>
  </si>
  <si>
    <t>W-TC-018</t>
  </si>
  <si>
    <t>Cách tính Nhập tay</t>
  </si>
  <si>
    <t>W-TC-019</t>
  </si>
  <si>
    <t>Cách tính Theo phiếu nhập</t>
  </si>
  <si>
    <t>W-TC-020</t>
  </si>
  <si>
    <t>Tháng đã khoá sổ giữ cách cũ, không sửa</t>
  </si>
  <si>
    <t>W-TC-021</t>
  </si>
  <si>
    <t>Lịch sử thu chi</t>
  </si>
  <si>
    <t>Lọc và đọc lịch sử</t>
  </si>
  <si>
    <t>W-TC-022</t>
  </si>
  <si>
    <t>Bố cục trang chủ Standard</t>
  </si>
  <si>
    <t>A-TC-001</t>
  </si>
  <si>
    <t>Chip Năm, Tháng, Cửa hàng</t>
  </si>
  <si>
    <t>A-TC-002</t>
  </si>
  <si>
    <t>5 ô mặc định</t>
  </si>
  <si>
    <t>A-TC-003</t>
  </si>
  <si>
    <t>Tuỳ chỉnh thao tác nhanh</t>
  </si>
  <si>
    <t>A-TC-004</t>
  </si>
  <si>
    <t>Dải nhắc khoá sổ</t>
  </si>
  <si>
    <t>A-TC-005</t>
  </si>
  <si>
    <t>Kết quả kinh doanh</t>
  </si>
  <si>
    <t>Lợi nhuận và các dòng chi phí</t>
  </si>
  <si>
    <t>A-TC-006</t>
  </si>
  <si>
    <t>Các link trong thẻ KQKD</t>
  </si>
  <si>
    <t>A-TC-007</t>
  </si>
  <si>
    <t>Quỹ tiền</t>
  </si>
  <si>
    <t>Thẻ Quỹ tiền</t>
  </si>
  <si>
    <t>A-TC-008</t>
  </si>
  <si>
    <t>Xem sổ, dòng tiền, tạo quỹ</t>
  </si>
  <si>
    <t>A-TC-009</t>
  </si>
  <si>
    <t>Mua hàng &amp; công nợ NCC</t>
  </si>
  <si>
    <t>Khối mua hàng</t>
  </si>
  <si>
    <t>A-TC-010</t>
  </si>
  <si>
    <t>Nút Mua hàng, Chi trả NCC</t>
  </si>
  <si>
    <t>A-TC-011</t>
  </si>
  <si>
    <t>Hao hụt kiểm kê</t>
  </si>
  <si>
    <t>Khối hao hụt</t>
  </si>
  <si>
    <t>A-TC-012</t>
  </si>
  <si>
    <t>Danh sách chi phí theo lý do</t>
  </si>
  <si>
    <t>A-TC-013</t>
  </si>
  <si>
    <t>Lập phiếu chi</t>
  </si>
  <si>
    <t>A-TC-014</t>
  </si>
  <si>
    <t>A-TC-015</t>
  </si>
  <si>
    <t>Đổi cách tính</t>
  </si>
  <si>
    <t>A-TC-016</t>
  </si>
  <si>
    <t>Tháng đã khoá sổ</t>
  </si>
  <si>
    <t>A-TC-017</t>
  </si>
  <si>
    <t>Lịch sử một quỹ</t>
  </si>
  <si>
    <t>A-TC-018</t>
  </si>
  <si>
    <t>Nút Thu tiền, Chi tiền ghim đáy</t>
  </si>
  <si>
    <t>A-TC-019</t>
  </si>
  <si>
    <t>Cửa hàng</t>
  </si>
  <si>
    <t>Mỗi cửa hàng một kho, không khai kho</t>
  </si>
  <si>
    <t>W-DM-001</t>
  </si>
  <si>
    <t>Thêm cửa hàng từ FABi</t>
  </si>
  <si>
    <t>W-DM-002</t>
  </si>
  <si>
    <t>Hàng hoá</t>
  </si>
  <si>
    <t>Form hàng hoá gọn ở gói Standard</t>
  </si>
  <si>
    <t>W-DM-003</t>
  </si>
  <si>
    <t>Theo dõi tồn kho, ngành mặc định</t>
  </si>
  <si>
    <t>W-DM-004</t>
  </si>
  <si>
    <t>Bắt buộc, trùng mã</t>
  </si>
  <si>
    <t>W-DM-005</t>
  </si>
  <si>
    <t>Nhóm hàng hoá</t>
  </si>
  <si>
    <t>Thêm tay, đồng bộ FABi</t>
  </si>
  <si>
    <t>W-DM-006</t>
  </si>
  <si>
    <t>Khách hàng, NCC, nhân viên</t>
  </si>
  <si>
    <t>Form đối tượng gọn</t>
  </si>
  <si>
    <t>W-DM-007</t>
  </si>
  <si>
    <t>Bắt buộc, trùng mã, xoá đang dùng</t>
  </si>
  <si>
    <t>W-DM-008</t>
  </si>
  <si>
    <t>Nhóm đối tượng</t>
  </si>
  <si>
    <t>Thêm, sửa, xoá nhóm đối tượng</t>
  </si>
  <si>
    <t>W-DM-009</t>
  </si>
  <si>
    <t>Kho</t>
  </si>
  <si>
    <t>Kho chỉ xem</t>
  </si>
  <si>
    <t>W-DM-010</t>
  </si>
  <si>
    <t>Khai số dư ban đầu tại danh mục</t>
  </si>
  <si>
    <t>W-DM-011</t>
  </si>
  <si>
    <t>Gắn phương thức thanh toán để nhận phiếu FABi</t>
  </si>
  <si>
    <t>W-DM-012</t>
  </si>
  <si>
    <t>Phương thức thanh toán</t>
  </si>
  <si>
    <t>Danh mục lấy từ FABi, chỉ xem</t>
  </si>
  <si>
    <t>W-DM-013</t>
  </si>
  <si>
    <t>Lý do nghiệp vụ</t>
  </si>
  <si>
    <t>Chỉ lý do thu, chi; tích là chi phí</t>
  </si>
  <si>
    <t>W-DM-014</t>
  </si>
  <si>
    <t>Nhóm lý do nghiệp vụ</t>
  </si>
  <si>
    <t>6 nhóm chi phí theo S2c-HKD, chỉ xem</t>
  </si>
  <si>
    <t>W-DM-015</t>
  </si>
  <si>
    <t>Danh mục (chung)</t>
  </si>
  <si>
    <t>Danh mục ẩn ở gói Standard</t>
  </si>
  <si>
    <t>W-DM-016</t>
  </si>
  <si>
    <t>Quy trình</t>
  </si>
  <si>
    <t>Sơ đồ quy trình thu chi</t>
  </si>
  <si>
    <t>W-TT-001</t>
  </si>
  <si>
    <t>Phiếu thu chi 2.1.1</t>
  </si>
  <si>
    <t>3 tab loại phiếu</t>
  </si>
  <si>
    <t>W-TT-002</t>
  </si>
  <si>
    <t>Lập phiếu thu tiền mặt</t>
  </si>
  <si>
    <t>W-TT-003</t>
  </si>
  <si>
    <t>Quỹ theo loại phiếu và cửa hàng</t>
  </si>
  <si>
    <t>W-TT-004</t>
  </si>
  <si>
    <t>Lý do, đối tượng ở đầu phiếu</t>
  </si>
  <si>
    <t>W-TT-005</t>
  </si>
  <si>
    <t>Đối tượng bắt buộc theo lý do</t>
  </si>
  <si>
    <t>W-TT-006</t>
  </si>
  <si>
    <t>Số tiền, ngày chứng từ</t>
  </si>
  <si>
    <t>W-TT-007</t>
  </si>
  <si>
    <t>Tháng ghi nhận chi phí</t>
  </si>
  <si>
    <t>W-TT-008</t>
  </si>
  <si>
    <t>Chuyển quỹ</t>
  </si>
  <si>
    <t>W-TT-009</t>
  </si>
  <si>
    <t>Chi phí chờ phân bổ tạo thẻ</t>
  </si>
  <si>
    <t>W-TT-010</t>
  </si>
  <si>
    <t>Phiếu trong tháng đã khoá sổ chỉ xem</t>
  </si>
  <si>
    <t>W-TT-011</t>
  </si>
  <si>
    <t>Danh sách gồm phiếu tự sinh</t>
  </si>
  <si>
    <t>W-TT-012</t>
  </si>
  <si>
    <t>Sửa, xoá, sao chép, in phiếu</t>
  </si>
  <si>
    <t>W-TT-013</t>
  </si>
  <si>
    <t>Đồng bộ thu chi FABi</t>
  </si>
  <si>
    <t>Bật/tắt đồng bộ theo cửa hàng</t>
  </si>
  <si>
    <t>W-TT-014</t>
  </si>
  <si>
    <t>Phiếu vào quỹ theo cửa hàng|phương thức</t>
  </si>
  <si>
    <t>W-TT-015</t>
  </si>
  <si>
    <t>Sổ quỹ tiền mặt 2.2.1</t>
  </si>
  <si>
    <t>Sổ quỹ khớp phiếu</t>
  </si>
  <si>
    <t>W-TT-016</t>
  </si>
  <si>
    <t>Sổ ngân hàng 2.2.3</t>
  </si>
  <si>
    <t>Sổ ngân hàng khớp phiếu BC, UNC</t>
  </si>
  <si>
    <t>W-TT-017</t>
  </si>
  <si>
    <t>Số dư ban đầu</t>
  </si>
  <si>
    <t>Đường dẫn cũ chuyển sang Danh mục Quỹ tiền</t>
  </si>
  <si>
    <t>W-TT-018</t>
  </si>
  <si>
    <t>Báo cáo (tab)</t>
  </si>
  <si>
    <t>Tab Báo cáo của Thu chi</t>
  </si>
  <si>
    <t>W-TT-019</t>
  </si>
  <si>
    <t>Tab Nghiệp vụ</t>
  </si>
  <si>
    <t>Danh sách nghiệp vụ gói Standard</t>
  </si>
  <si>
    <t>A-TT-001</t>
  </si>
  <si>
    <t>Tìm nghiệp vụ</t>
  </si>
  <si>
    <t>A-TT-002</t>
  </si>
  <si>
    <t>Danh sách thu chi</t>
  </si>
  <si>
    <t>Tab và thẻ tổng</t>
  </si>
  <si>
    <t>A-TT-003</t>
  </si>
  <si>
    <t>Tìm, lọc, sắp xếp</t>
  </si>
  <si>
    <t>A-TT-004</t>
  </si>
  <si>
    <t>Nút + theo tab</t>
  </si>
  <si>
    <t>A-TT-005</t>
  </si>
  <si>
    <t>Phiếu tự sinh có trong danh sách</t>
  </si>
  <si>
    <t>A-TT-006</t>
  </si>
  <si>
    <t>Lập phiếu thu chi</t>
  </si>
  <si>
    <t>A-TT-007</t>
  </si>
  <si>
    <t>Kiểm tra khi lưu</t>
  </si>
  <si>
    <t>A-TT-008</t>
  </si>
  <si>
    <t>Quỹ theo cửa hàng và loại phiếu</t>
  </si>
  <si>
    <t>A-TT-009</t>
  </si>
  <si>
    <t>A-TT-010</t>
  </si>
  <si>
    <t>Thêm nhanh đối tượng, lý do</t>
  </si>
  <si>
    <t>A-TT-011</t>
  </si>
  <si>
    <t>A-TT-012</t>
  </si>
  <si>
    <t>A-TT-013</t>
  </si>
  <si>
    <t>Chi phí chờ phân bổ</t>
  </si>
  <si>
    <t>A-TT-014</t>
  </si>
  <si>
    <t>Xem phiếu thu chi</t>
  </si>
  <si>
    <t>Màn xem phiếu</t>
  </si>
  <si>
    <t>A-TT-015</t>
  </si>
  <si>
    <t>Sửa, sao chép, xoá</t>
  </si>
  <si>
    <t>A-TT-016</t>
  </si>
  <si>
    <t>Lịch sử phiếu</t>
  </si>
  <si>
    <t>Dòng thời gian thao tác</t>
  </si>
  <si>
    <t>A-TT-017</t>
  </si>
  <si>
    <t>Sơ đồ quy trình bán hàng</t>
  </si>
  <si>
    <t>W-BH-001</t>
  </si>
  <si>
    <t>Xuất bán POS 3.1.1</t>
  </si>
  <si>
    <t>Chỉ nhận chứng từ từ FABi</t>
  </si>
  <si>
    <t>W-BH-002</t>
  </si>
  <si>
    <t>Mỗi hoá đơn FABi một chứng từ, dòng món khớp</t>
  </si>
  <si>
    <t>W-BH-003</t>
  </si>
  <si>
    <t>Thuế GTGT theo % doanh thu</t>
  </si>
  <si>
    <t>W-BH-004</t>
  </si>
  <si>
    <t>Khớp KQKD và trang chủ</t>
  </si>
  <si>
    <t>W-BH-005</t>
  </si>
  <si>
    <t>Bán hàng (chung)</t>
  </si>
  <si>
    <t>Màn bán hàng ẩn ở gói Standard</t>
  </si>
  <si>
    <t>W-BH-006</t>
  </si>
  <si>
    <t>Tổng hợp bán hàng</t>
  </si>
  <si>
    <t>Tổng hợp khớp chứng từ</t>
  </si>
  <si>
    <t>W-BH-007</t>
  </si>
  <si>
    <t>Bảng kê chi tiết bán hàng</t>
  </si>
  <si>
    <t>Bảng kê theo dòng món</t>
  </si>
  <si>
    <t>W-BH-008</t>
  </si>
  <si>
    <t>Sổ doanh thu 3.2.5</t>
  </si>
  <si>
    <t>Mẫu sổ theo chế độ, cách tính thuế</t>
  </si>
  <si>
    <t>W-BH-009</t>
  </si>
  <si>
    <t>Xuất bán POS</t>
  </si>
  <si>
    <t>Chỉ xem, không lập tay</t>
  </si>
  <si>
    <t>A-BH-001</t>
  </si>
  <si>
    <t>Lọc danh sách</t>
  </si>
  <si>
    <t>A-BH-002</t>
  </si>
  <si>
    <t>Chi tiết đơn</t>
  </si>
  <si>
    <t>A-BH-003</t>
  </si>
  <si>
    <t>Tab Báo cáo theo dõi</t>
  </si>
  <si>
    <t>A-BH-004</t>
  </si>
  <si>
    <t>Sơ đồ quy trình mua hàng</t>
  </si>
  <si>
    <t>W-MH-001</t>
  </si>
  <si>
    <t>Phiếu mua hàng 4.1.1</t>
  </si>
  <si>
    <t>Lập phiếu mua còn nợ</t>
  </si>
  <si>
    <t>W-MH-002</t>
  </si>
  <si>
    <t>Đã thanh toán sinh phiếu chi</t>
  </si>
  <si>
    <t>W-MH-003</t>
  </si>
  <si>
    <t>Nhận kèm hoá đơn</t>
  </si>
  <si>
    <t>W-MH-004</t>
  </si>
  <si>
    <t>HKD không khấu trừ thuế đầu vào</t>
  </si>
  <si>
    <t>W-MH-005</t>
  </si>
  <si>
    <t>Thanh toán phiếu còn nợ</t>
  </si>
  <si>
    <t>W-MH-006</t>
  </si>
  <si>
    <t>Phiếu đã trả, tháng khoá sổ không sửa</t>
  </si>
  <si>
    <t>W-MH-007</t>
  </si>
  <si>
    <t>Bắt buộc trên phiếu</t>
  </si>
  <si>
    <t>W-MH-008</t>
  </si>
  <si>
    <t>Công nợ NCC 4.2.3</t>
  </si>
  <si>
    <t>Công thức công nợ</t>
  </si>
  <si>
    <t>W-MH-009</t>
  </si>
  <si>
    <t>Xem gộp, lịch sử công nợ, thanh toán ngay</t>
  </si>
  <si>
    <t>W-MH-010</t>
  </si>
  <si>
    <t>Bảng kê chi tiết mua hàng</t>
  </si>
  <si>
    <t>Bảng kê khớp phiếu</t>
  </si>
  <si>
    <t>W-MH-011</t>
  </si>
  <si>
    <t>Danh sách mua hàng</t>
  </si>
  <si>
    <t>Tab danh sách</t>
  </si>
  <si>
    <t>A-MH-001</t>
  </si>
  <si>
    <t>Lập phiếu mua</t>
  </si>
  <si>
    <t>Lập phiếu còn nợ</t>
  </si>
  <si>
    <t>A-MH-002</t>
  </si>
  <si>
    <t>A-MH-003</t>
  </si>
  <si>
    <t>Đã thanh toán</t>
  </si>
  <si>
    <t>A-MH-004</t>
  </si>
  <si>
    <t>A-MH-005</t>
  </si>
  <si>
    <t>Thêm nhanh nhà cung cấp</t>
  </si>
  <si>
    <t>A-MH-006</t>
  </si>
  <si>
    <t>Xem phiếu mua</t>
  </si>
  <si>
    <t>A-MH-007</t>
  </si>
  <si>
    <t>Phiếu đã trả không sửa</t>
  </si>
  <si>
    <t>A-MH-008</t>
  </si>
  <si>
    <t>Sơ đồ quy trình kiểm kê</t>
  </si>
  <si>
    <t>W-KK-001</t>
  </si>
  <si>
    <t>Phiếu kiểm kê 5.1.10</t>
  </si>
  <si>
    <t>Lập phiếu kiểm kê theo số lượng</t>
  </si>
  <si>
    <t>W-KK-002</t>
  </si>
  <si>
    <t>Sinh phiếu điều chỉnh</t>
  </si>
  <si>
    <t>W-KK-003</t>
  </si>
  <si>
    <t>Sửa, xoá phiếu đã sinh điều chỉnh</t>
  </si>
  <si>
    <t>W-KK-004</t>
  </si>
  <si>
    <t>Xuất, nhập điều chỉnh</t>
  </si>
  <si>
    <t>Chỉ xem, không có giá trị</t>
  </si>
  <si>
    <t>W-KK-005</t>
  </si>
  <si>
    <t>Xuất nhập tồn 5.2.3</t>
  </si>
  <si>
    <t>Chỉ số lượng, khớp kiểm kê</t>
  </si>
  <si>
    <t>W-KK-006</t>
  </si>
  <si>
    <t>Mở Thẻ kho 5.2.1</t>
  </si>
  <si>
    <t>W-KK-007</t>
  </si>
  <si>
    <t>Tổng hợp nhập kho 5.2.9</t>
  </si>
  <si>
    <t>Tổng hợp nhập khớp phiếu mua, nhập điều chỉnh</t>
  </si>
  <si>
    <t>W-KK-008</t>
  </si>
  <si>
    <t>Chi tiết nhập kho 5.2.10</t>
  </si>
  <si>
    <t>Chi tiết nhập kho</t>
  </si>
  <si>
    <t>W-KK-009</t>
  </si>
  <si>
    <t>Báo cáo kiểm kê 5.2.15</t>
  </si>
  <si>
    <t>Báo cáo kiểm kê khớp phiếu</t>
  </si>
  <si>
    <t>W-KK-010</t>
  </si>
  <si>
    <t>Kiểm kê (chung)</t>
  </si>
  <si>
    <t>Báo cáo kho ẩn</t>
  </si>
  <si>
    <t>W-KK-011</t>
  </si>
  <si>
    <t>Danh sách kiểm kê</t>
  </si>
  <si>
    <t>4 tab</t>
  </si>
  <si>
    <t>A-KK-001</t>
  </si>
  <si>
    <t>Lập phiếu kiểm kê</t>
  </si>
  <si>
    <t>A-KK-002</t>
  </si>
  <si>
    <t>A-KK-003</t>
  </si>
  <si>
    <t>Phiếu điều chỉnh</t>
  </si>
  <si>
    <t>Sinh phiếu điều chỉnh, chỉ xem</t>
  </si>
  <si>
    <t>A-KK-004</t>
  </si>
  <si>
    <t>Xem phiếu kiểm kê</t>
  </si>
  <si>
    <t>Phiếu đã sinh điều chỉnh</t>
  </si>
  <si>
    <t>A-KK-005</t>
  </si>
  <si>
    <t>Sơ đồ quy trình chi phí phân bổ</t>
  </si>
  <si>
    <t>W-PB-001</t>
  </si>
  <si>
    <t>Chi phí phân bổ 8.1.1</t>
  </si>
  <si>
    <t>Chỉ thẻ Chi phí trả trước</t>
  </si>
  <si>
    <t>W-PB-002</t>
  </si>
  <si>
    <t>Ghi tăng hàng loạt từ phiếu chờ</t>
  </si>
  <si>
    <t>W-PB-003</t>
  </si>
  <si>
    <t>Lịch phân bổ đều theo tháng</t>
  </si>
  <si>
    <t>W-PB-004</t>
  </si>
  <si>
    <t>Trạng thái kỳ, ngừng phân bổ</t>
  </si>
  <si>
    <t>W-PB-005</t>
  </si>
  <si>
    <t>Xoá thẻ theo khoá sổ</t>
  </si>
  <si>
    <t>W-PB-006</t>
  </si>
  <si>
    <t>Khớp trang chủ</t>
  </si>
  <si>
    <t>W-PB-007</t>
  </si>
  <si>
    <t>Danh sách thẻ</t>
  </si>
  <si>
    <t>A-PB-001</t>
  </si>
  <si>
    <t>Thêm thẻ</t>
  </si>
  <si>
    <t>Hai kiểu thẻ</t>
  </si>
  <si>
    <t>A-PB-002</t>
  </si>
  <si>
    <t>A-PB-003</t>
  </si>
  <si>
    <t>Xem thẻ</t>
  </si>
  <si>
    <t>Lịch phân bổ</t>
  </si>
  <si>
    <t>A-PB-004</t>
  </si>
  <si>
    <t>Sửa thẻ</t>
  </si>
  <si>
    <t>Sửa lịch phân bổ</t>
  </si>
  <si>
    <t>A-PB-005</t>
  </si>
  <si>
    <t>Sao chép, xoá thẻ</t>
  </si>
  <si>
    <t>A-PB-006</t>
  </si>
  <si>
    <t>Sơ đồ quy trình kê khai</t>
  </si>
  <si>
    <t>W-TH-001</t>
  </si>
  <si>
    <t>Danh sách tờ khai, lọc</t>
  </si>
  <si>
    <t>W-TH-002</t>
  </si>
  <si>
    <t>Lập tờ khai 4 bước</t>
  </si>
  <si>
    <t>W-TH-003</t>
  </si>
  <si>
    <t>Công thức thuế</t>
  </si>
  <si>
    <t>W-TH-004</t>
  </si>
  <si>
    <t>Lập lại kỳ đã có thành bổ sung</t>
  </si>
  <si>
    <t>W-TH-005</t>
  </si>
  <si>
    <t>Nhóm doanh thu khoá theo thiết lập</t>
  </si>
  <si>
    <t>W-TH-006</t>
  </si>
  <si>
    <t>Danh sách tờ khai</t>
  </si>
  <si>
    <t>Danh sách, lọc</t>
  </si>
  <si>
    <t>A-TH-001</t>
  </si>
  <si>
    <t>Lập tờ khai</t>
  </si>
  <si>
    <t>Tờ khai 4 bước</t>
  </si>
  <si>
    <t>A-TH-002</t>
  </si>
  <si>
    <t>Kỳ đã có tờ khai</t>
  </si>
  <si>
    <t>A-TH-003</t>
  </si>
  <si>
    <t>Báo cáo theo dõi thuế</t>
  </si>
  <si>
    <t>Báo cáo theo dõi</t>
  </si>
  <si>
    <t>A-TH-004</t>
  </si>
  <si>
    <t>Tất cả báo cáo</t>
  </si>
  <si>
    <t>Danh sách báo cáo gói Standard</t>
  </si>
  <si>
    <t>W-BC-001</t>
  </si>
  <si>
    <t>Nhóm báo cáo Thu chi</t>
  </si>
  <si>
    <t>Nhóm Thu chi chỉ có báo cáo của gói</t>
  </si>
  <si>
    <t>W-BC-002</t>
  </si>
  <si>
    <t>Nhóm báo cáo Bán hàng</t>
  </si>
  <si>
    <t>Nhóm Bán hàng chỉ có báo cáo của gói</t>
  </si>
  <si>
    <t>W-BC-003</t>
  </si>
  <si>
    <t>Nhóm báo cáo Mua hàng</t>
  </si>
  <si>
    <t>Nhóm Mua hàng chỉ có báo cáo của gói</t>
  </si>
  <si>
    <t>W-BC-004</t>
  </si>
  <si>
    <t>Nhóm báo cáo Kho</t>
  </si>
  <si>
    <t>Nhóm Kho chỉ có báo cáo của gói</t>
  </si>
  <si>
    <t>W-BC-005</t>
  </si>
  <si>
    <t>Nhóm báo cáo Chi phí phân bổ</t>
  </si>
  <si>
    <t>Nhóm Chi phí phân bổ chỉ có báo cáo của gói</t>
  </si>
  <si>
    <t>W-BC-006</t>
  </si>
  <si>
    <t>Nhóm báo cáo Tổng hợp</t>
  </si>
  <si>
    <t>Nhóm Tổng hợp chỉ có báo cáo của gói</t>
  </si>
  <si>
    <t>W-BC-007</t>
  </si>
  <si>
    <t>Nhóm báo cáo Công nợ</t>
  </si>
  <si>
    <t>Nhóm Công nợ chỉ có báo cáo của gói</t>
  </si>
  <si>
    <t>W-BC-008</t>
  </si>
  <si>
    <t>Báo cáo (chung)</t>
  </si>
  <si>
    <t>Bộ lọc, in, xuất, tuỳ chỉnh</t>
  </si>
  <si>
    <t>W-BC-009</t>
  </si>
  <si>
    <t>Báo cáo không hợp thiết lập</t>
  </si>
  <si>
    <t>W-BC-010</t>
  </si>
  <si>
    <t>KQKD 10.2.3</t>
  </si>
  <si>
    <t>Bản lãi lỗ đơn giản khớp trang chủ</t>
  </si>
  <si>
    <t>W-BC-011</t>
  </si>
  <si>
    <t>Tab Báo cáo</t>
  </si>
  <si>
    <t>A-BC-001</t>
  </si>
  <si>
    <t>Tìm, Gần đây, Ghim</t>
  </si>
  <si>
    <t>A-BC-002</t>
  </si>
  <si>
    <t>Bộ lọc báo cáo</t>
  </si>
  <si>
    <t>Bộ lọc bật trước khi xem</t>
  </si>
  <si>
    <t>A-BC-003</t>
  </si>
  <si>
    <t>Giới hạn ngày</t>
  </si>
  <si>
    <t>A-BC-004</t>
  </si>
  <si>
    <t>Đầu báo cáo</t>
  </si>
  <si>
    <t>Thanh đầu báo cáo</t>
  </si>
  <si>
    <t>A-BC-005</t>
  </si>
  <si>
    <t>Sổ dạng bảng</t>
  </si>
  <si>
    <t>Tải Excel, xoay màn, mở chứng từ</t>
  </si>
  <si>
    <t>A-BC-006</t>
  </si>
  <si>
    <t>Sổ quỹ khớp web</t>
  </si>
  <si>
    <t>A-BC-007</t>
  </si>
  <si>
    <t>Sổ ngân hàng khớp web</t>
  </si>
  <si>
    <t>A-BC-008</t>
  </si>
  <si>
    <t>Tổng hợp bán hàng khớp web</t>
  </si>
  <si>
    <t>A-BC-009</t>
  </si>
  <si>
    <t>Bảng kê bán hàng khớp web</t>
  </si>
  <si>
    <t>A-BC-010</t>
  </si>
  <si>
    <t>Mẫu sổ theo chế độ</t>
  </si>
  <si>
    <t>A-BC-011</t>
  </si>
  <si>
    <t>Bảng kê mua hàng 4.2.7</t>
  </si>
  <si>
    <t>Bảng kê mua hàng</t>
  </si>
  <si>
    <t>A-BC-012</t>
  </si>
  <si>
    <t>Công nợ NCC</t>
  </si>
  <si>
    <t>A-BC-013</t>
  </si>
  <si>
    <t>Xuất nhập tồn</t>
  </si>
  <si>
    <t>A-BC-014</t>
  </si>
  <si>
    <t>Tổng hợp, chi tiết nhập kho</t>
  </si>
  <si>
    <t>5.2.9, 5.2.10</t>
  </si>
  <si>
    <t>A-BC-015</t>
  </si>
  <si>
    <t>Báo cáo kiểm kê</t>
  </si>
  <si>
    <t>A-BC-016</t>
  </si>
  <si>
    <t>KQKD đơn giản</t>
  </si>
  <si>
    <t>A-BC-017</t>
  </si>
  <si>
    <t>Hệ thống (chung)</t>
  </si>
  <si>
    <t>Màn có ở gói Standard</t>
  </si>
  <si>
    <t>W-HT-001</t>
  </si>
  <si>
    <t>Thông tin đơn vị</t>
  </si>
  <si>
    <t>Tên bắt buộc, MST khoá</t>
  </si>
  <si>
    <t>W-HT-002</t>
  </si>
  <si>
    <t>Thiết lập hộ kinh doanh</t>
  </si>
  <si>
    <t>W-HT-003</t>
  </si>
  <si>
    <t>Doanh nghiệp, đổi loại hình</t>
  </si>
  <si>
    <t>W-HT-004</t>
  </si>
  <si>
    <t>Cấu hình kế toán</t>
  </si>
  <si>
    <t>Mẫu số chứng từ, đồng bộ FABi</t>
  </si>
  <si>
    <t>W-HT-005</t>
  </si>
  <si>
    <t>Khoá sổ</t>
  </si>
  <si>
    <t>Bảng tháng của cửa hàng</t>
  </si>
  <si>
    <t>W-HT-006</t>
  </si>
  <si>
    <t>Khoá tháng</t>
  </si>
  <si>
    <t>W-HT-007</t>
  </si>
  <si>
    <t>Bước kiểm tra trước khi khoá</t>
  </si>
  <si>
    <t>W-HT-008</t>
  </si>
  <si>
    <t>Mở khoá</t>
  </si>
  <si>
    <t>W-HT-009</t>
  </si>
  <si>
    <t>Hàng loạt, lịch sử</t>
  </si>
  <si>
    <t>W-HT-010</t>
  </si>
  <si>
    <t>Khoá theo từng cửa hàng</t>
  </si>
  <si>
    <t>W-HT-011</t>
  </si>
  <si>
    <t>Gói thuê bao</t>
  </si>
  <si>
    <t>Thẻ gói, so sánh</t>
  </si>
  <si>
    <t>W-HT-012</t>
  </si>
  <si>
    <t>Toàn app</t>
  </si>
  <si>
    <t>Doanh nghiệp gói Standard không ghi sổ</t>
  </si>
  <si>
    <t>W-DN-001</t>
  </si>
  <si>
    <t>Sổ theo chế độ TT58</t>
  </si>
  <si>
    <t>W-DN-002</t>
  </si>
  <si>
    <t>Doanh nghiệp gói Standard trên app</t>
  </si>
  <si>
    <t>A-DN-001</t>
  </si>
  <si>
    <t>Tìm màn, danh mục, báo cáo</t>
  </si>
  <si>
    <t>A-TK-001</t>
  </si>
  <si>
    <t>Không ra màn ngoài gói</t>
  </si>
  <si>
    <t>A-TK-002</t>
  </si>
  <si>
    <t>Bố cục tab Khác</t>
  </si>
  <si>
    <t>A-KH-001</t>
  </si>
  <si>
    <t>Tìm trong tab Khác</t>
  </si>
  <si>
    <t>A-KH-002</t>
  </si>
  <si>
    <t>Đơn vị kế toán</t>
  </si>
  <si>
    <t>Đổi đơn vị</t>
  </si>
  <si>
    <t>A-KH-003</t>
  </si>
  <si>
    <t>Đăng xuất</t>
  </si>
  <si>
    <t>A-KH-004</t>
  </si>
  <si>
    <t>Danh mục có ở gói Standard</t>
  </si>
  <si>
    <t>A-KH-005</t>
  </si>
  <si>
    <t>Lọc trạng thái, tìm</t>
  </si>
  <si>
    <t>A-KH-006</t>
  </si>
  <si>
    <t>Thêm, sửa hàng hoá</t>
  </si>
  <si>
    <t>A-KH-007</t>
  </si>
  <si>
    <t>Đối tượng</t>
  </si>
  <si>
    <t>Thêm khách hàng, NCC, nhân viên</t>
  </si>
  <si>
    <t>A-KH-008</t>
  </si>
  <si>
    <t>Nhóm hàng hoá, nhóm đối tượng</t>
  </si>
  <si>
    <t>Thêm, sửa, xoá nhóm</t>
  </si>
  <si>
    <t>A-KH-009</t>
  </si>
  <si>
    <t>A-KH-010</t>
  </si>
  <si>
    <t>Thêm quỹ, số dư ban đầu</t>
  </si>
  <si>
    <t>A-KH-011</t>
  </si>
  <si>
    <t>Loại lý do</t>
  </si>
  <si>
    <t>A-KH-012</t>
  </si>
  <si>
    <t>Nhóm lý do, Phương thức thanh toán</t>
  </si>
  <si>
    <t>Chỉ xem</t>
  </si>
  <si>
    <t>A-KH-013</t>
  </si>
  <si>
    <t>Chi tiết cửa hàng</t>
  </si>
  <si>
    <t>A-KH-014</t>
  </si>
  <si>
    <t>Đồng bộ FABi</t>
  </si>
  <si>
    <t>A-KH-015</t>
  </si>
  <si>
    <t>Thêm cửa hàng FABi</t>
  </si>
  <si>
    <t>A-KH-016</t>
  </si>
  <si>
    <t>Lưu thông tin đơn vị</t>
  </si>
  <si>
    <t>A-KH-017</t>
  </si>
  <si>
    <t>A-KH-018</t>
  </si>
  <si>
    <t>A-KH-019</t>
  </si>
  <si>
    <t>5 bước kiểm tra</t>
  </si>
  <si>
    <t>A-KH-020</t>
  </si>
  <si>
    <t>Khoá theo cửa hàng</t>
  </si>
  <si>
    <t>A-KH-021</t>
  </si>
  <si>
    <t>Mở khoá cần lý do</t>
  </si>
  <si>
    <t>A-KH-022</t>
  </si>
  <si>
    <t>A-KH-023</t>
  </si>
  <si>
    <t>Xem phiếu (chung)</t>
  </si>
  <si>
    <t>Không Ghi sổ, không Xuất Excel</t>
  </si>
  <si>
    <t>A-XP-001</t>
  </si>
  <si>
    <t>Thứ tự chặn xoá</t>
  </si>
  <si>
    <t>A-XP-002</t>
  </si>
  <si>
    <t>Màn Thành công</t>
  </si>
  <si>
    <t>Các nút màn Thành công</t>
  </si>
  <si>
    <t>A-XP-003</t>
  </si>
  <si>
    <t>Loại kiểm</t>
  </si>
  <si>
    <t>Mục đích</t>
  </si>
  <si>
    <t>Tiền điều kiện</t>
  </si>
  <si>
    <t>Các bước</t>
  </si>
  <si>
    <t>Kết quả mong đợi</t>
  </si>
  <si>
    <t>Kết quả thực tế</t>
  </si>
  <si>
    <t>Người test</t>
  </si>
  <si>
    <t>Ngày test</t>
  </si>
  <si>
    <t>Ghi chú</t>
  </si>
  <si>
    <t>Hiển thị</t>
  </si>
  <si>
    <t>1. Vào /app
2. Xem sidebar</t>
  </si>
  <si>
    <t>Hiện: Trang chủ, Thu chi, Kế toán bán hàng, Kế toán mua hàng, Kiểm kê, Chi phí phân bổ, Kê khai thuế, Báo cáo, Danh mục, Hệ thống. Không có Tổng hợp, Tiện ích, TSCĐ, Giá thành</t>
  </si>
  <si>
    <t>1. Xem sidebar
2. Bấm Kiểm kê</t>
  </si>
  <si>
    <t>Tên phân hệ là Kiểm kê, mở tab Kiểm kê số lượng</t>
  </si>
  <si>
    <t>1. Mở lần lượt từng phân hệ
2. Xem các tab</t>
  </si>
  <si>
    <t>Không tab, nút, mục nào có biểu tượng khoá hay chữ Nâng cấp</t>
  </si>
  <si>
    <t>Chức năng</t>
  </si>
  <si>
    <t>1. Mở một màn bất kỳ, vd Danh mục hàng hoá
2. Bấm logo</t>
  </si>
  <si>
    <t>Về Trang chủ › Tổng quan</t>
  </si>
  <si>
    <t>1. Đăng nhập lần lượt bằng các vai trò mẫu
2. Vào /app</t>
  </si>
  <si>
    <t>Mọi vai trò mở Tổng quan, không có màn Bàn làm việc</t>
  </si>
  <si>
    <t>Ràng buộc</t>
  </si>
  <si>
    <t>1. Gõ thẳng đường dẫn /app/he-thong/nguoi-dung
2. Gõ /app/tong-hop/... một màn Tổng hợp</t>
  </si>
  <si>
    <t>Chuyển về màn đầu của phân hệ, không hiện trang Nâng cấp, không hiện thẻ Chưa mở bán</t>
  </si>
  <si>
    <t>1. Bấm ô chọn đơn vị
2. Chọn đơn vị khác</t>
  </si>
  <si>
    <t>Đổi gói theo đơn vị mới, cửa hàng về Tất cả cửa hàng. Có mục Thêm đơn vị kế toán</t>
  </si>
  <si>
    <t>1. Chọn cửa hàng A
2. Mở danh sách phiếu thu chi
3. Đổi sang Tất cả cửa hàng</t>
  </si>
  <si>
    <t>Bước 2 chỉ có phiếu của cửa hàng A; bước 3 hiện gộp mọi cửa hàng</t>
  </si>
  <si>
    <t>1. Chọn Tất cả cửa hàng
2. Bấm Thêm phiếu thu</t>
  </si>
  <si>
    <t>Hiện hộp chọn cửa hàng. Chọn xong mới mở form phiếu, form gắn cửa hàng vừa chọn</t>
  </si>
  <si>
    <t>1. Đơn vị tạo từ FABi
2. Xem thanh trên
3. Đổi ngày tạo để còn ≤ 7 ngày</t>
  </si>
  <si>
    <t>Hiện Dùng thử · còn N ngày, tính 30 ngày từ ngày tạo; còn từ 7 ngày trở xuống thì tô màu cảnh báo</t>
  </si>
  <si>
    <t>1. Xem thanh trên
2. Mở menu tài khoản</t>
  </si>
  <si>
    <t>Không có chuông thông báo, menu không có mục Người dùng</t>
  </si>
  <si>
    <t>1. Bấm Ctrl+K
2. Gõ 'kiem ke'</t>
  </si>
  <si>
    <t>Ra Kiểm kê số lượng, Báo cáo kiểm kê; bấm kết quả mở đúng màn</t>
  </si>
  <si>
    <t>1. Ctrl+K
2. Gõ 'tai san', 'nguoi dung', 'tong hop', 'gia thanh'</t>
  </si>
  <si>
    <t>Không ra màn TSCĐ, Người dùng, Tổng hợp, Giá thành</t>
  </si>
  <si>
    <t>1. Mở Thao tác nhanh
2. Tuỳ chỉnh, thêm tới 8 ô
3. Thử thêm ô thứ 9
4. Tải lại trang</t>
  </si>
  <si>
    <t>Mặc định: Thu tiền, Chi tiền, Nhập mua, Kiểm kê, Kê khai thuế. Tối đa 8 ô, không thêm được ô thứ 9. Tải lại vẫn giữ tuỳ chỉnh</t>
  </si>
  <si>
    <t>1. Để trống email/số điện thoại, bấm Đăng nhập
2. Nhập mật khẩu 5 ký tự
3. Nhập đúng tài khoản mẫu, mật khẩu ≥ 6 ký tự</t>
  </si>
  <si>
    <t>Bước 1, 2 báo lỗi, không vào. Bước 3 vào màn chọn đơn vị</t>
  </si>
  <si>
    <t>1. Xem các thẻ đơn vị</t>
  </si>
  <si>
    <t>Mỗi thẻ có mã số thuế, chế độ, số điểm bán, kỳ đang mở; có link Thử mở từ FABi</t>
  </si>
  <si>
    <t>1. Bấm Thử mở từ FABi
2. Màn Chào: xem số liệu FABi
3. Màn Giao diện: xem ảnh trang chủ đánh số 1–5
4. Màn chọn cửa hàng
5. Bấm Dùng thử</t>
  </si>
  <si>
    <t>Tạo đơn vị mới gói Standard, TT152, bắt đầu 30 ngày dùng thử, vào app, popup khởi tạo hiện đè lên</t>
  </si>
  <si>
    <t>1. Ở màn chọn cửa hàng bỏ chọn hết
2. Bấm Dùng thử</t>
  </si>
  <si>
    <t>Mặc định chọn hết; bỏ hết thì không bấm được Dùng thử</t>
  </si>
  <si>
    <t>1. Bấm ra ngoài popup, bấm Esc
2. Làm tới bước 2 rồi tải lại trang</t>
  </si>
  <si>
    <t>Popup không đóng. Tải lại vẫn ở bước 2</t>
  </si>
  <si>
    <t>1. Chọn Hộ kinh doanh
2. Xem nhóm gợi ý
3. Lần lượt chọn nhóm 1, 2, 3, 4</t>
  </si>
  <si>
    <t>Gợi ý nhóm theo doanh thu FABi 12 tháng. Nhóm 1 (&lt;1 tỷ): không nộp GTGT, TNCN. Nhóm 2 (1–&lt;3 tỷ): chọn % doanh thu hoặc lợi nhuận 15%. Nhóm 3: lợi nhuận 17%. Nhóm 4: lợi nhuận 20%</t>
  </si>
  <si>
    <t>1. Chọn hộ kinh doanh nhóm 3 (hoặc nhóm 2 theo lợi nhuận)
2. Chọn doanh nghiệp tính theo doanh thu</t>
  </si>
  <si>
    <t>Bước 1 hiện cảnh báo kê khai thuế chưa có ở gói Standard, phần quản lý vẫn dùng đủ. Bước 2 không cảnh báo, dùng TT58</t>
  </si>
  <si>
    <t>1. Doanh nghiệp: để trống mã số thuế, bấm Tiếp tục
2. Hộ kinh doanh: để trống CCCD/MST
3. Để trống tên đơn vị</t>
  </si>
  <si>
    <t>Doanh nghiệp thiếu MST thì báo lỗi. Hộ kinh doanh không bắt buộc CCCD/MST. Tên trống thì không bấm được Tiếp tục</t>
  </si>
  <si>
    <t>1. Nhập MST, bấm Tra cứu
2. Mở ô Ngày đầu năm tài chính</t>
  </si>
  <si>
    <t>Tự điền tên, địa chỉ. Ngày đầu năm chỉ có 01/01, 01/04, 01/07, 01/10</t>
  </si>
  <si>
    <t>1. Bỏ chọn hết cửa hàng
2. Hộ kinh doanh không chọn cửa hàng chính
3. Chọn kênh online, sàn đã khấu trừ thuế</t>
  </si>
  <si>
    <t>Phải chọn ít nhất 1 cửa hàng; hộ kinh doanh bắt buộc cửa hàng chính; chọn được GrabFood, ShopeeFood, Be</t>
  </si>
  <si>
    <t>Tích hợp</t>
  </si>
  <si>
    <t>1. Bấm Tiếp tục ở bước 3
2. Theo dõi danh sách việc
3. Bấm Bắt đầu làm việc</t>
  </si>
  <si>
    <t>4 việc có trạng thái: danh mục món và kênh; doanh thu; thu chi; ghi sổ. Xong thì lưu loại hình, nhóm, cách tính thuế, cửa hàng chính, kênh; đặt gói, chế độ, ngày đầu năm; chuyển sang Danh mục</t>
  </si>
  <si>
    <t>1. Khởi tạo xong
2. Mở Xuất bán POS</t>
  </si>
  <si>
    <t>Mỗi đơn FABi từ ngày đầu năm tài chính thành một chứng từ Xuất bán POS</t>
  </si>
  <si>
    <t>1. Mở Tổng quan</t>
  </si>
  <si>
    <t>Một khối lớn: thanh đầu (nhắc khoá sổ, 5 thao tác nhanh), Kết quả kinh doanh, Quỹ tiền, Mua hàng và công nợ, Hao hụt kiểm kê</t>
  </si>
  <si>
    <t>1. Chọn tháng 9/2026
2. Mở danh sách phiếu thu chi, một báo cáo, Chi phí phân bổ
3. Đóng tab rồi mở lại</t>
  </si>
  <si>
    <t>Bước 2 mặc định kỳ tháng 9/2026. Bước 3 về tháng mặc định</t>
  </si>
  <si>
    <t>1. Để tháng trước chưa khoá
2. Bấm dòng nhắc
3. Khoá tháng trước rồi về trang chủ</t>
  </si>
  <si>
    <t>Hiện nhắc, bấm sang Hệ thống › Khoá sổ. Khoá xong thì hết nhắc</t>
  </si>
  <si>
    <t>1. Lần lượt bấm Thu tiền, Chi tiền, Mua hàng, Kiểm kê, Kê khai thuế</t>
  </si>
  <si>
    <t>Mở đúng form/màn tương ứng; cửa hàng là Tất cả thì hỏi chọn cửa hàng trước khi lập phiếu</t>
  </si>
  <si>
    <t>1. Chọn một tháng có dữ liệu
2. Đọc Doanh thu thuần, Chi phí NVL, Chi phí hoạt động, Chi phí phân bổ, Lợi nhuận, Biên</t>
  </si>
  <si>
    <t>Lợi nhuận = Doanh thu thuần − NVL − Hoạt động − Phân bổ. Biên = Lợi nhuận / Doanh thu</t>
  </si>
  <si>
    <t>1. Bấm Doanh thu thuần → so với KQKD 10.2.3
2. Bấm Chi phí NVL → màn Chi phí NVL
3. Bấm Chi phí hoạt động → màn Chi phí hoạt động
4. Bấm Chi phí phân bổ → 8.1.1</t>
  </si>
  <si>
    <t>Mỗi dòng mở đúng màn, số tiền màn chi tiết bằng số trên trang chủ cùng tháng, cùng cửa hàng</t>
  </si>
  <si>
    <t>1. Xem biểu đồ</t>
  </si>
  <si>
    <t>Đủ 13 tháng; tháng 7–10/2026 là số thật, tháng trước là số mẫu</t>
  </si>
  <si>
    <t>1. Đọc Tồn quỹ, Thu, Chi trong tháng
2. Bấm một quỹ trên vòng tròn
3. Bấm Lịch sử thu chi</t>
  </si>
  <si>
    <t>Tồn quỹ = tổng số dư cuối quỹ tiền mặt các cửa hàng đang xem + mọi tài khoản ngân hàng. Chi tiết quỹ: Tồn đầu + Thu − Chi = Tồn cuối, số dư từng ngày, 3 giao dịch gần nhất. Vòng tròn chỉ quỹ dương</t>
  </si>
  <si>
    <t>1. Đơn vị chưa có quỹ: xem khối
2. Mở menu Xem sổ</t>
  </si>
  <si>
    <t>Có nút Tạo quỹ. Menu có Sổ quỹ tiền mặt 2.2.1, Sổ ngân hàng 2.2.3</t>
  </si>
  <si>
    <t>1. Đọc giá trị mua, số phiếu, top 3 mặt hàng
2. Đọc Nợ đầu, Mua nợ, Trả hàng, Thanh toán, Nợ cuối
3. So với báo cáo 4.2.3 cùng kỳ</t>
  </si>
  <si>
    <t>Giá trị mua = tổng tiền phiếu 4.1.1 gồm thuế. Nợ đầu + Mua nợ − Trả hàng − Thanh toán = Nợ cuối, khớp dòng tổng 4.2.3. Không có hạn thanh toán</t>
  </si>
  <si>
    <t>1. Bấm Tạo phiếu mua hàng
2. Bấm Thanh toán nhà cung cấp</t>
  </si>
  <si>
    <t>Mở form 4.1.1; mở phiếu chi lý do Thanh toán công nợ nhà cung cấp</t>
  </si>
  <si>
    <t>1. Có phiếu kiểm kê trong tháng
2. Đọc khối Hao hụt</t>
  </si>
  <si>
    <t>Chỉ số lượng, không có tiền. Lệch = tồn thực tế − tồn hệ thống. Có số mặt hàng thiếu, thừa, đã kiểm; tiến độ cửa hàng (chưa kiểm lên đầu); top 3 thiếu, top 3 thừa</t>
  </si>
  <si>
    <t>1. Bấm Kiểm kê ngay
2. Bấm Báo cáo kiểm kê</t>
  </si>
  <si>
    <t>Mở form phiếu kiểm kê; mở Báo cáo kiểm kê 5.2.15</t>
  </si>
  <si>
    <t>1. Mở màn từ trang chủ
2. Bấm một dòng lý do
3. Bấm số phiếu</t>
  </si>
  <si>
    <t>Mỗi lý do chi phí một dòng: số phiếu, tiền mặt, ngân hàng, % trên tổng. Bấm dòng xổ danh sách phiếu, bấm số phiếu mở phiếu</t>
  </si>
  <si>
    <t>1. Lập phiếu chi ngày 05/10 tháng ghi nhận 09/2026
2. Lập phiếu chi lý do Chi phí chờ phân bổ
3. Xem màn tháng 9 và tháng 10</t>
  </si>
  <si>
    <t>Phiếu bước 1 tính vào tháng 9, không vào tháng 10. Phiếu bước 2 không có trong màn</t>
  </si>
  <si>
    <t>1. Bấm Xuất Excel
2. Bấm Lập phiếu chi</t>
  </si>
  <si>
    <t>Tải file Excel đúng số liệu; mở form phiếu chi</t>
  </si>
  <si>
    <t>1. Chọn Tất cả cửa hàng
2. Mở Chi phí NVL</t>
  </si>
  <si>
    <t>Bảng mỗi cửa hàng: cách tính, doanh thu, NVL, tỷ lệ</t>
  </si>
  <si>
    <t>1. Cửa hàng đặt cách iPOS Inventory
2. Xem màn</t>
  </si>
  <si>
    <t>NVL = giá thành món × số món bán + NVL tiêu hao (xuất huỷ + xuất điều chỉnh − nhập điều chỉnh)</t>
  </si>
  <si>
    <t>1. Cửa hàng đặt cách Nhập tay
2. Nhập giá thành vài món, để trống 1 món
3. Xuất, nhập Excel giá thành</t>
  </si>
  <si>
    <t>NVL = số món bán × giá thành nhập; món chưa có giá tính 0. Nhập/xuất Excel đúng</t>
  </si>
  <si>
    <t>1. Cửa hàng đặt cách Theo phiếu nhập
2. So với tổng phiếu 4.1.1 tháng đó</t>
  </si>
  <si>
    <t>NVL = tổng tiền phiếu mua 4.1.1 trong tháng, gồm thuế GTGT</t>
  </si>
  <si>
    <t>1. Khoá tháng 9
2. Đổi cách tính của cửa hàng
3. Xem tháng 9, tháng 10
4. Thử sửa giá thành tháng 9</t>
  </si>
  <si>
    <t>Tháng 9 giữ cách cũ, không sửa được; tháng 10 dùng cách mới</t>
  </si>
  <si>
    <t>1. Mở từ khối Quỹ tiền
2. Lọc theo quỹ, loại thu/chi
3. Bấm một giao dịch</t>
  </si>
  <si>
    <t>Có Tồn đầu, Thu, Chi, Tồn cuối; giao dịch gom theo ngày kèm số dư cuối ngày, nhãn FABi POS hoặc Thủ công. Bấm mở chứng từ gốc</t>
  </si>
  <si>
    <t>1. Mở Danh mục cửa hàng
2. Mở một cửa hàng</t>
  </si>
  <si>
    <t>Không có ô khai kho; có Cách tính chi phí NVL và bật/tắt Đồng bộ thu chi FABi</t>
  </si>
  <si>
    <t>1. Bấm Thêm
2. Chọn cửa hàng FABi chưa dùng kế toán
3. Tích khai số dư ngay, lưu</t>
  </si>
  <si>
    <t>Chỉ liệt kê cửa hàng FABi chưa dùng kế toán. Lưu xong sang Danh mục Quỹ tiền</t>
  </si>
  <si>
    <t>1. Thêm hàng hoá mới</t>
  </si>
  <si>
    <t>Không có ĐVT phụ, mã vạch, giá mua, giá bán, kho mặc định, tồn tối thiểu/tối đa, nhà cung cấp, quy đổi ĐVT. Thương hiệu chỉ xem</t>
  </si>
  <si>
    <t>1. Chọn loại Thành phẩm
2. Chọn loại khác
3. Xem ngành của hàng mới</t>
  </si>
  <si>
    <t>Thành phẩm tự tắt Theo dõi tồn kho, loại khác bật. Ngành mặc định Dịch vụ ăn uống, tự điền tỷ lệ GTGT, TNCN</t>
  </si>
  <si>
    <t>1. Lưu khi trống mã, tên
2. Lưu mã đã có</t>
  </si>
  <si>
    <t>Báo lỗi ô bắt buộc; báo trùng mã, không lưu</t>
  </si>
  <si>
    <t>1. Thêm nhóm tay
2. Bấm Đồng bộ FABi</t>
  </si>
  <si>
    <t>Thêm được; đồng bộ lấy nhóm món từ FABi, không nhân đôi nhóm đã có</t>
  </si>
  <si>
    <t>1. Thêm khách hàng, nhà cung cấp, nhân viên</t>
  </si>
  <si>
    <t>Không có số thẻ ngân hàng và các khối nâng cao</t>
  </si>
  <si>
    <t>1. Lưu thiếu mã/tên
2. Lưu trùng mã
3. Xoá nhà cung cấp đã có phiếu mua</t>
  </si>
  <si>
    <t>Báo lỗi; báo trùng; chặn xoá đối tượng đã phát sinh</t>
  </si>
  <si>
    <t>1. Thêm nhóm
2. Sửa tên
3. Xoá nhóm</t>
  </si>
  <si>
    <t>Thao tác đúng, danh sách cập nhật</t>
  </si>
  <si>
    <t>1. Mở Danh mục kho</t>
  </si>
  <si>
    <t>Không có nút Thêm kho, không có Nhóm kho; mỗi cửa hàng một kho</t>
  </si>
  <si>
    <t>1. Mở Quỹ tiền
2. Nhập Số dư ban đầu cho một quỹ
3. Xem Sổ quỹ tiền mặt kỳ đầu</t>
  </si>
  <si>
    <t>Có cột Số dư ban đầu; số dư lên sổ quỹ đầu kỳ</t>
  </si>
  <si>
    <t>1. Gắn phương thức Momo của cửa hàng A vào một quỹ
2. Đồng bộ thu chi FABi</t>
  </si>
  <si>
    <t>Phiếu FABi cửa hàng A phương thức Momo vào đúng quỹ đã gắn</t>
  </si>
  <si>
    <t>1. Mở danh mục</t>
  </si>
  <si>
    <t>Chỉ có cột mã, tên. Không có Thêm, Sửa, Xoá, Nhập/Xuất Excel</t>
  </si>
  <si>
    <t>1. Mở danh mục
2. Thêm lý do chi, tích là chi phí
3. Lập phiếu chi với lý do đó</t>
  </si>
  <si>
    <t>Chỉ có lý do Thu tiền, Chi tiền. Phiếu vào màn Chi phí hoạt động</t>
  </si>
  <si>
    <t>Đúng 6 nhóm, không thêm, sửa, xoá</t>
  </si>
  <si>
    <t>1. Xem các tab Danh mục
2. Ctrl+K tìm 'tai khoan', 'but toan'</t>
  </si>
  <si>
    <t>Không có Nhóm mục chi phí, Nhóm công việc, Nhóm kho, Tài khoản, Đơn vị tính quy đổi, Bút toán tự động</t>
  </si>
  <si>
    <t>1. Mở tab Quy trình
2. Bấm từng bước</t>
  </si>
  <si>
    <t>Khởi tạo (số dư) → Ghi nhận hằng ngày (5 loại phiếu) → Đối chiếu sổ → Công nợ, báo cáo; bấm mở đúng màn</t>
  </si>
  <si>
    <t>1. Mở màn 2.1.1
2. Xem các tab</t>
  </si>
  <si>
    <t>Tab Tiền mặt (Thu PT, Chi PC), Ngân hàng (Thu BC, Chi UNC), Chuyển quỹ (CQ). Mở mặc định danh sách chứng từ</t>
  </si>
  <si>
    <t>1. Chọn cửa hàng A
2. Thêm phiếu thu
3. Chọn quỹ, lý do, đối tượng, nhập số tiền
4. Lưu</t>
  </si>
  <si>
    <t>Số phiếu dạng PT{YY}{MM}-{0000}. Lưu xong có trong danh sách, sổ quỹ tiền mặt tăng đúng số tiền</t>
  </si>
  <si>
    <t>1. Phiếu tiền mặt cửa hàng A: mở ô Quỹ
2. Phiếu ngân hàng: mở ô Quỹ</t>
  </si>
  <si>
    <t>Phiếu tiền mặt chỉ có quỹ tiền mặt của cửa hàng A; phiếu ngân hàng chỉ có tài khoản ngân hàng</t>
  </si>
  <si>
    <t>1. Lập phiếu, chọn lý do, đối tượng
2. Thêm 2 dòng chi tiết</t>
  </si>
  <si>
    <t>Bảng chi tiết không có cột lý do, đối tượng; mọi dòng lấy theo đầu phiếu. Không có tab Đính kèm, không Nợ/Có, không nút Ghi sổ</t>
  </si>
  <si>
    <t>1. Chọn lý do thu nợ / đi vay / chi công nợ / cho vay
2. Để trống đối tượng, lưu</t>
  </si>
  <si>
    <t>Báo thiếu đối tượng, không lưu. Lý do khác không bắt buộc</t>
  </si>
  <si>
    <t>1. Lưu khi số tiền 0 hoặc âm
2. Chọn ngày trước ngày đầu năm tài chính</t>
  </si>
  <si>
    <t>Báo lỗi, không lưu</t>
  </si>
  <si>
    <t>1. Phiếu chi lý do không phải chi phí: xem form
2. Đổi sang lý do chi phí
3. Mở ô Tháng ghi nhận</t>
  </si>
  <si>
    <t>Bước 1 không có ô. Bước 2 hiện ô, mặc định tháng của ngày phiếu. Chỉ chọn được các tháng trước chưa khoá sổ</t>
  </si>
  <si>
    <t>1. Tab Chuyển quỹ, thêm phiếu CQ từ quỹ tiền mặt sang ngân hàng
2. Lưu
3. Xem trang chủ KQKD</t>
  </si>
  <si>
    <t>Quỹ đi giảm, quỹ đến tăng đúng số tiền; lãi lỗ không đổi</t>
  </si>
  <si>
    <t>1. Lập phiếu chi lý do Chi phí chờ phân bổ, lưu
2. Đồng ý tạo thẻ
3. Mở lại phiếu, bấm Sửa</t>
  </si>
  <si>
    <t>Lưu xong hỏi tạo thẻ chi phí phân bổ; thẻ có trong 8.1.1. Phiếu đã có thẻ không sửa được</t>
  </si>
  <si>
    <t>1. Khoá tháng 9 cửa hàng A
2. Mở phiếu tháng 9 của A
3. Thử Sửa, Xoá</t>
  </si>
  <si>
    <t>Phiếu chỉ xem; không sửa, không xoá</t>
  </si>
  <si>
    <t>1. Mở danh sách tháng có dữ liệu</t>
  </si>
  <si>
    <t>Có phiếu đồng bộ FABi, phiếu lương và thuê nhà hằng tháng, phiếu thanh toán sinh từ phiếu mua</t>
  </si>
  <si>
    <t>1. Sửa số tiền một phiếu tháng chưa khoá, lưu
2. Sao chép
3. In
4. Xoá</t>
  </si>
  <si>
    <t>Sửa cập nhật sổ quỹ; sao chép tạo phiếu mới số mới; in ra mẫu phiếu; xoá có hỏi lại và mất khỏi sổ</t>
  </si>
  <si>
    <t>1. Tắt đồng bộ cửa hàng A, bật cửa hàng B
2. Đồng bộ</t>
  </si>
  <si>
    <t>Chỉ phiếu của B về; A không có phiếu FABi mới</t>
  </si>
  <si>
    <t>1. Giữ gắn mặc định
2. Đồng bộ
3. Xem phiếu tiền mặt, chuyển khoản, thẻ, app giao đồ ăn</t>
  </si>
  <si>
    <t>Tiền mặt về quỹ tiền mặt cửa hàng; chuyển khoản, thẻ về ngân hàng; app giao đồ ăn chưa gắn thì phiếu chờ, chưa vào sổ</t>
  </si>
  <si>
    <t>1. Mở sổ tháng có dữ liệu
2. Đối chiếu với danh sách phiếu tiền mặt</t>
  </si>
  <si>
    <t>Tồn đầu + Thu − Chi = Tồn cuối; từng dòng đúng phiếu; bấm số phiếu mở phiếu</t>
  </si>
  <si>
    <t>1. Mở sổ
2. Đối chiếu phiếu ngân hàng</t>
  </si>
  <si>
    <t>Số dư đầu, thu, chi, cuối đúng; bấm số phiếu mở phiếu</t>
  </si>
  <si>
    <t>1. Mở /app/tien/so-du-ban-dau</t>
  </si>
  <si>
    <t>Tự chuyển sang Danh mục Quỹ tiền</t>
  </si>
  <si>
    <t>1. Mở tab Báo cáo</t>
  </si>
  <si>
    <t>Chỉ có Sổ quỹ tiền mặt 2.2.1, Sổ ngân hàng 2.2.3</t>
  </si>
  <si>
    <t>1. Mở tab Quy trình</t>
  </si>
  <si>
    <t>Sơ đồ chỉ gồm bước có ở gói Standard, bấm mở đúng màn</t>
  </si>
  <si>
    <t>1. Mở danh sách
2. Tìm nút Thêm
3. Mở một chứng từ, tìm Sửa, Trả hàng, Huỷ</t>
  </si>
  <si>
    <t>Không lập tay, không sửa, không trả hàng, không huỷ</t>
  </si>
  <si>
    <t>1. Mở một chứng từ
2. Kiểm dòng món
3. Cộng doanh thu một ngày</t>
  </si>
  <si>
    <t>Thành tiền = số lượng × đơn giá, trừ khuyến mãi; phần chênh dồn vào món cuối; tổng các chứng từ trong ngày = doanh thu ngày</t>
  </si>
  <si>
    <t>1. Mở một chứng từ
2. Xem cột thuế, dòng giảm thuế, phương thức thanh toán</t>
  </si>
  <si>
    <t>Không có cột thuế suất, tiền thuế; có dòng Giảm thuế GTGT = doanh thu × tỷ lệ ngành × 20%; tiền các phương thức chia theo tổng = doanh thu − giảm thuế</t>
  </si>
  <si>
    <t>1. Lọc tháng 10, cửa hàng A
2. So tổng với Doanh thu thuần trang chủ và KQKD 10.2.3</t>
  </si>
  <si>
    <t>Bằng nhau</t>
  </si>
  <si>
    <t>1. Xem các tab phân hệ
2. Ctrl+K tìm 'hoa don', 'tra lai', 'cong no khach'</t>
  </si>
  <si>
    <t>Không có Bán hàng ngoài POS, Hoá đơn bán hàng, Hàng bán trả lại, Hoá đơn điện tử, Công nợ khách hàng</t>
  </si>
  <si>
    <t>1. Mở báo cáo kỳ tháng 10
2. So tổng với danh sách 3.1.1</t>
  </si>
  <si>
    <t>Khớp tổng doanh thu; bấm số chứng từ mở phiếu</t>
  </si>
  <si>
    <t>1. Mở báo cáo
2. So một chứng từ</t>
  </si>
  <si>
    <t>Mỗi món một dòng, khớp chứng từ</t>
  </si>
  <si>
    <t>1. HKD nhóm 1: mở sổ
2. HKD nhóm 2 theo % doanh thu
3. HKD theo lợi nhuận
4. Doanh nghiệp TT58</t>
  </si>
  <si>
    <t>Nhóm 1: mẫu S1a-HKD. Theo doanh thu: S2a-HKD. Theo lợi nhuận: không có sổ. TT58: chỉ S1-DNSN</t>
  </si>
  <si>
    <t>Bấm từng bước mở đúng màn</t>
  </si>
  <si>
    <t>1. Thêm phiếu
2. Chọn NCC, kho, ngày, 2 dòng hàng
3. Không tích Đã thanh toán, lưu</t>
  </si>
  <si>
    <t>Số phiếu tiền tố MH; một kho ở đầu phiếu; có nút Thanh toán; công nợ NCC tăng</t>
  </si>
  <si>
    <t>1. Lập phiếu, tích Đã thanh toán, chọn quỹ tiền mặt, lưu
2. Làm lại với tài khoản ngân hàng</t>
  </si>
  <si>
    <t>Tự lập phiếu chi (hoặc UNC) lý do Thanh toán công nợ NCC, tham chiếu hai chiều mở qua lại được</t>
  </si>
  <si>
    <t>1. Tích Nhận kèm hoá đơn
2. Để trống số, ký hiệu, ngày hoá đơn, lưu</t>
  </si>
  <si>
    <t>Báo thiếu, không lưu</t>
  </si>
  <si>
    <t>1. HKD lập phiếu có thuế GTGT
2. Xem giá trị nhập kho</t>
  </si>
  <si>
    <t>Giá trị nhập kho = tiền trước thuế + thuế</t>
  </si>
  <si>
    <t>1. Mở phiếu còn nợ, bấm Thanh toán
2. Nhập 0
3. Nhập lớn hơn số còn phải trả
4. Nhập hợp lệ</t>
  </si>
  <si>
    <t>Bước 2, 3 báo lỗi; bước 4 sinh phiếu chi, số còn nợ giảm</t>
  </si>
  <si>
    <t>1. Mở phiếu đã thanh toán, bấm Sửa
2. Mở phiếu tháng đã khoá</t>
  </si>
  <si>
    <t>Không sửa được</t>
  </si>
  <si>
    <t>1. Lưu thiếu NCC, kho hoặc không có dòng hàng
2. Số lượng 0</t>
  </si>
  <si>
    <t>1. Mở báo cáo kỳ tháng 10
2. Kiểm một NCC</t>
  </si>
  <si>
    <t>I Nợ đầu + II Tiền mua − III Trả hàng − IV Thanh toán = V Nợ cuối; tổng khớp trang chủ</t>
  </si>
  <si>
    <t>1. Chọn Tất cả cửa hàng
2. Bấm tên NCC
3. Bấm Thanh toán ngay</t>
  </si>
  <si>
    <t>Dưới mỗi NCC là từng cửa hàng. Lịch sử công nợ cộng khớp dòng báo cáo. Thanh toán ngay hỏi tiền mặt hay ngân hàng rồi mở phiếu chi</t>
  </si>
  <si>
    <t>1. Mở báo cáo
2. So một phiếu 4.1.1</t>
  </si>
  <si>
    <t>Mỗi mặt hàng của phiếu một dòng, tổng khớp</t>
  </si>
  <si>
    <t>1. Thêm phiếu, chọn kho
2. Nhập tồn thực tế vài dòng, để trống vài dòng
3. Lưu</t>
  </si>
  <si>
    <t>Bảng có tồn hệ thống, thực tế, chênh lệch theo số lượng, không có tiền. Ô trống lấy tồn hệ thống (chênh 0)</t>
  </si>
  <si>
    <t>1. Lưu phiếu KK2610-0256 có dòng thiếu và dòng thừa
2. Mở tab Xuất, nhập điều chỉnh</t>
  </si>
  <si>
    <t>Có XDC2610-0256 cho phần thiếu, NDC2610-0256 cho phần thừa</t>
  </si>
  <si>
    <t>1. Mở phiếu đã sinh điều chỉnh, bấm Sửa
2. Xoá phiếu</t>
  </si>
  <si>
    <t>Không sửa được. Xoá thì xoá luôn hai phiếu điều chỉnh</t>
  </si>
  <si>
    <t>1. Mở tab
2. Mở một phiếu</t>
  </si>
  <si>
    <t>Không có Thêm, Sửa; không hiện giá trị tiền</t>
  </si>
  <si>
    <t>1. Mở báo cáo
2. Đổi cửa hàng trên thanh trên</t>
  </si>
  <si>
    <t>Cột đầu kỳ, nhập, xuất, cuối kỳ chỉ số lượng, không giá trị, không dòng tổng. Kho đổi theo cửa hàng</t>
  </si>
  <si>
    <t>1. Bấm mã hàng
2. Xem danh sách báo cáo</t>
  </si>
  <si>
    <t>Mở Thẻ kho cùng hàng, kho, kỳ. Thẻ kho không có trong danh sách báo cáo</t>
  </si>
  <si>
    <t>1. Mở báo cáo kỳ tháng 10</t>
  </si>
  <si>
    <t>Khớp tổng số lượng phiếu nhập trong kỳ</t>
  </si>
  <si>
    <t>1. Mở báo cáo
2. Bấm số chứng từ</t>
  </si>
  <si>
    <t>Mỗi dòng nhập một dòng; bấm mở phiếu</t>
  </si>
  <si>
    <t>1. Mở báo cáo tháng có phiếu kiểm kê</t>
  </si>
  <si>
    <t>Thiếu, thừa theo số lượng khớp phiếu và khối Hao hụt trang chủ</t>
  </si>
  <si>
    <t>Không có Tổng hợp xuất kho, Chi tiết xuất kho</t>
  </si>
  <si>
    <t>1. Mở màn</t>
  </si>
  <si>
    <t>Không có CCDC, TSCĐ; có 2 kiểu thẻ: ghi tăng (TPB{YY}{MM}-{0000}) và dư đầu kỳ (TPBDK...)</t>
  </si>
  <si>
    <t>1. Có 2 phiếu chi lý do Chi phí chờ phân bổ chưa có thẻ
2. Bấm Ghi tăng hàng loạt</t>
  </si>
  <si>
    <t>Tạo 2 thẻ, phiếu không còn trong danh sách chờ</t>
  </si>
  <si>
    <t>1. Thẻ 10.000.000 phân bổ 3 tháng
2. Xem lịch</t>
  </si>
  <si>
    <t>Mỗi kỳ ngày cuối tháng, 3.333.333 / 3.333.333 / 3.333.334 (kỳ cuối nhận phần lẻ)</t>
  </si>
  <si>
    <t>1. Xem trạng thái các kỳ
2. Ngừng phân bổ từ một tháng</t>
  </si>
  <si>
    <t>Không có bước kích hoạt: kỳ tới tháng hiện tại là Đã phân bổ, kỳ sau Chờ phân bổ. Ngừng nhập theo tháng, kỳ sau đó không phân bổ</t>
  </si>
  <si>
    <t>1. Thẻ bắt đầu tháng 9, đã khoá tháng 9: xoá
2. Thẻ bắt đầu tháng 11, khoá tới tháng 9: xoá</t>
  </si>
  <si>
    <t>Bước 1 chặn xoá. Bước 2 xoá được</t>
  </si>
  <si>
    <t>1. Cộng phần phân bổ tháng 10
2. So dòng Chi phí phân bổ trang chủ</t>
  </si>
  <si>
    <t>1. Mở màn
2. Lọc năm, loại, trạng thái</t>
  </si>
  <si>
    <t>Danh sách lọc đúng</t>
  </si>
  <si>
    <t>1. Bấm Lập tờ khai, chọn kỳ 6 tháng
2. B1 thông tin HKD, điểm bán
3. B2 doanh thu, giảm trừ, thuế
4. B3 bảng kê 01/BK-STK
5. B4 xem trước, tải XML, đánh dấu Đã nộp</t>
  </si>
  <si>
    <t>Đi hết 4 bước; tải được file XML; trạng thái thành Đã nộp</t>
  </si>
  <si>
    <t>1. Ở bước 2 đọc doanh thu kỳ, giảm trừ, GTGT, TNCN</t>
  </si>
  <si>
    <t>GTGT = doanh thu kỳ × tỷ lệ GTGT ngành. TNCN = (doanh thu − giảm trừ) × tỷ lệ TNCN ngành; giảm trừ = phần còn lại của 1 tỷ/năm sau khi trừ doanh thu kỳ đầu năm. Doanh thu khớp Xuất bán POS</t>
  </si>
  <si>
    <t>1. Kỳ đã có tờ khai chưa huỷ, lập thêm
2. Huỷ tờ khai rồi lập lại</t>
  </si>
  <si>
    <t>Bước 1 thành tờ khai bổ sung lần kế. Bước 2 lập tờ khai lần đầu</t>
  </si>
  <si>
    <t>1. Ở hộp Lập tờ khai thử đổi nhóm</t>
  </si>
  <si>
    <t>Nhóm khoá theo Thông tin đơn vị, không đổi được</t>
  </si>
  <si>
    <t>1. Mở Tất cả báo cáo</t>
  </si>
  <si>
    <t>Đúng danh sách: 2.2.1, 2.2.3, Tổng hợp bán hàng, Bảng kê chi tiết bán hàng, (3.2.5 theo chế độ), Bảng kê chi tiết mua hàng, 4.2.3, 5.2.3, 5.2.9, 5.2.10, 5.2.15, KQKD 10.2.3. Không có nhóm Thuế</t>
  </si>
  <si>
    <t>1. Mở nhóm
2. Bấm từng báo cáo</t>
  </si>
  <si>
    <t>Chỉ hiện báo cáo có ở gói Standard, mở đúng báo cáo; nhóm rỗng thì không hiện</t>
  </si>
  <si>
    <t>1. Mở một báo cáo
2. Đổi Khoảng ngày, gõ Tìm, dùng ô lọc ngoài
3. In, Xuất file
4. Tuỳ chỉnh cột, gom nhóm
5. Bấm số chứng từ</t>
  </si>
  <si>
    <t>Lọc đúng; in, xuất đúng số trên màn; ẩn/hiện cột, gom nhóm đúng; số chứng từ mở phiếu</t>
  </si>
  <si>
    <t>1. HKD tính theo lợi nhuận, gõ đường dẫn /app/ban-hang/3-2-5</t>
  </si>
  <si>
    <t>Hiện 'Báo cáo không dùng với thiết lập hiện tại'</t>
  </si>
  <si>
    <t>1. Mở báo cáo tháng 10, cửa hàng A
2. So trang chủ</t>
  </si>
  <si>
    <t>Không theo mẫu B02; doanh thu, chi phí, lợi nhuận khớp khối KQKD trang chủ</t>
  </si>
  <si>
    <t>1. Xem các tab</t>
  </si>
  <si>
    <t>Có Thông tin đơn vị, Cấu hình kế toán, Khoá sổ, Gói thuê bao. Không có Người dùng, Vai trò và phân quyền</t>
  </si>
  <si>
    <t>1. Xoá tên, lưu
2. Đơn vị đã khai MST khi khởi tạo: sửa MST</t>
  </si>
  <si>
    <t>Báo thiếu tên; ô MST khoá. Số điểm bán = số cửa hàng</t>
  </si>
  <si>
    <t>1. Loại hình Hộ kinh doanh
2. Đổi nhóm 1–4
3. Nhóm 2 chọn cách tính TNCN
4. Chọn cửa hàng chính, kênh online, sàn</t>
  </si>
  <si>
    <t>TT152 cố định; GTGT trực tiếp; TNCN theo nhóm, chỉ nhóm 2 được chọn; lưu đúng</t>
  </si>
  <si>
    <t>1. Đổi sang Doanh nghiệp
2. Lưu</t>
  </si>
  <si>
    <t>Cảnh báo đổi chế độ, sổ, báo cáo. Doanh nghiệp TT58 cố định, GTGT và TNDN theo % doanh thu; không có Nợ/Có</t>
  </si>
  <si>
    <t>1. Xem bảng mẫu đánh số
2. Bật/tắt đồng bộ thu chi FABi một cửa hàng</t>
  </si>
  <si>
    <t>Không có thiết lập Nợ/Có; đổi đồng bộ khớp với Danh mục cửa hàng</t>
  </si>
  <si>
    <t>1. Chọn cửa hàng, năm
2. Lọc trạng thái</t>
  </si>
  <si>
    <t>Các tháng với trạng thái Đã khoá, Chưa khoá, Đang mở, Chưa tới; lọc đúng</t>
  </si>
  <si>
    <t>1. Khoá tháng hiện tại chưa hết
2. Khoá tháng 9 khi tháng 7, 8 chưa khoá</t>
  </si>
  <si>
    <t>Bước 1 không cho khoá. Bước 2 khoá luôn tháng 7, 8, 9</t>
  </si>
  <si>
    <t>1. Để còn phiếu kiểm kê thiếu, phiếu FABi chờ, chi phí chờ ghi tăng
2. Bấm Khoá</t>
  </si>
  <si>
    <t>Hiện các bước kiểm tra: kiểm kê, phân bổ, chi phí chờ ghi tăng, đối chiếu tồn quỹ, phiếu FABi chờ. Chưa xong vẫn khoá được, kèm cảnh báo</t>
  </si>
  <si>
    <t>1. Mở khoá tháng 7 khi đã khoá tới tháng 9
2. Mở khoá tháng 9 không ghi lý do
3. Ghi lý do</t>
  </si>
  <si>
    <t>Chỉ mở được tháng khoá gần nhất; bắt buộc lý do</t>
  </si>
  <si>
    <t>1. Khoá sổ hàng loạt nhiều cửa hàng
2. Mở khoá hàng loạt
3. Xem Lịch sử khoá sổ</t>
  </si>
  <si>
    <t>Thao tác đúng; lịch sử ghi người, lúc, lý do</t>
  </si>
  <si>
    <t>1. Khoá tháng 9 cửa hàng A
2. Lập phiếu tháng 9 ở cửa hàng B</t>
  </si>
  <si>
    <t>B vẫn lập được; A chỉ xem</t>
  </si>
  <si>
    <t>Thẻ gói đang dùng; 3 thẻ gói, Plus và Pro nhãn Sắp ra mắt, không có nút chuyển; bảng so sánh theo phân hệ; hỏi đáp</t>
  </si>
  <si>
    <t>1. Đơn vị doanh nghiệp TT58 gói Standard
2. Lập phiếu thu, mua hàng, kiểm kê</t>
  </si>
  <si>
    <t>Không có Nợ/Có, khoản mục, công việc, bút toán, nút Ghi sổ (QD81)</t>
  </si>
  <si>
    <t>Sổ doanh thu chỉ S1-DNSN, không có S1a, S2a-HKD</t>
  </si>
  <si>
    <t>Vào từ</t>
  </si>
  <si>
    <t>Mọi màn gốc</t>
  </si>
  <si>
    <t>App điện thoại (màn rộng dưới 768px), đơn vị Phố Mây gói Standard, hộ kinh doanh TT152</t>
  </si>
  <si>
    <t>1. Mở app
2. Bấm lần lượt Trang chủ, Nghiệp vụ, Báo cáo, Khác
3. Mở một màn Danh mục, một màn Hệ thống</t>
  </si>
  <si>
    <t>Có 4 tab, tab đang mở sáng đúng. Màn Danh mục, Hệ thống thuộc tab Khác</t>
  </si>
  <si>
    <t>1. Ở Trang chủ cuộn xuống
2. Cuộn lên
3. Cuộn về sát đầu trang
4. Đổi sang màn khác</t>
  </si>
  <si>
    <t>Cuộn xuống thì thanh trượt ẩn; cuộn lên thì hiện; sát đầu trang luôn hiện; đổi màn thì hiện lại</t>
  </si>
  <si>
    <t>Màn cấp 2</t>
  </si>
  <si>
    <t>1. Mở xem một phiếu
2. Mở một báo cáo
3. Mở Lịch sử thu chi, Chi phí hoạt động
4. Mở một màn con Danh mục, Hệ thống, Khoá sổ</t>
  </si>
  <si>
    <t>Các màn này không có thanh tab đáy, có nút Quay lại trên đầu</t>
  </si>
  <si>
    <t>Màn danh sách</t>
  </si>
  <si>
    <t>1. Mở danh sách phiếu thu chi
2. Bấm chip cửa hàng
3. Chọn Tất cả cửa hàng, rồi chọn cửa hàng A</t>
  </si>
  <si>
    <t>Có mục Tất cả cửa hàng kèm dòng 'Chỉ xem gộp, chưa lập chứng từ'. Chọn A thì danh sách chỉ còn phiếu của A</t>
  </si>
  <si>
    <t>1. Chọn Tất cả cửa hàng (chưa từng chọn cửa hàng nào)
2. Bấm + lập phiếu
3. Bấm Đóng ở tấm chọn cửa hàng
4. Lặp lại, lần này chọn cửa hàng A</t>
  </si>
  <si>
    <t>Hiện tấm chọn cửa hàng trước. Đóng thì quay về trang trước. Chọn A thì mở form gắn cửa hàng A. Lần sau đã nhớ cửa hàng thì tự chọn cửa hàng đó</t>
  </si>
  <si>
    <t>Màn báo cáo</t>
  </si>
  <si>
    <t>1. Mở một báo cáo</t>
  </si>
  <si>
    <t>Góc phải thanh trên là nút phễu Bộ lọc báo cáo thay cho chip cửa hàng</t>
  </si>
  <si>
    <t>Gõ đường dẫn</t>
  </si>
  <si>
    <t>1. Gõ đường dẫn một màn chỉ có trên web
2. Bấm nút về Nghiệp vụ</t>
  </si>
  <si>
    <t>Hiện 'Chỉ dùng trên máy tính'; nút đưa về tab Nghiệp vụ</t>
  </si>
  <si>
    <t>Mọi màn</t>
  </si>
  <si>
    <t>1. Mở màn ở bề rộng ≥ 768px
2. Thu nhỏ dưới 768px
3. Mở rộng lại</t>
  </si>
  <si>
    <t>Dưới 768px dùng giao diện app, từ 768px dùng giao diện web, không mất dữ liệu đang xem</t>
  </si>
  <si>
    <t>Mọi tab</t>
  </si>
  <si>
    <t>1. Xem tab Nghiệp vụ, Báo cáo, Khác</t>
  </si>
  <si>
    <t>Không có Tổng hợp, Tiện ích, TSCĐ, Giá thành, Người dùng, Phân quyền, Danh mục tài khoản, Tờ khai GTGT, Nhập/xuất kho, Điều chuyển; không có biểu tượng khoá mời nâng cấp</t>
  </si>
  <si>
    <t>Mở app</t>
  </si>
  <si>
    <t>App điện thoại, chưa đăng nhập</t>
  </si>
  <si>
    <t>1. Để trống tài khoản
2. Mật khẩu dưới 6 ký tự
3. Nhập đúng</t>
  </si>
  <si>
    <t>Bước 1, 2 báo lỗi; bước 3 vào chọn đơn vị</t>
  </si>
  <si>
    <t>Thử mở từ FABi</t>
  </si>
  <si>
    <t>App điện thoại, đã đăng nhập</t>
  </si>
  <si>
    <t>1. Bấm Thử mở từ FABi
2. Đi qua Chào, Giao diện kế toán, Chọn cửa hàng
3. Bấm Dùng thử</t>
  </si>
  <si>
    <t>Màn Giao diện dùng ảnh trang chủ app đánh số 1–5; Quay lại và Dùng thử ghim đáy thành 2 ô; vào app, popup khởi tạo hiện đè</t>
  </si>
  <si>
    <t>Sau Dùng thử</t>
  </si>
  <si>
    <t>Vừa tạo đơn vị từ FABi trên điện thoại</t>
  </si>
  <si>
    <t>1. Đi hết 3 bước và Lấy dữ liệu</t>
  </si>
  <si>
    <t>Hàng nút Quay lại, Tiếp tục ghim sát đáy, không phải cuộn mới thấy; nội dung không tràn ngang</t>
  </si>
  <si>
    <t>Tab Trang chủ</t>
  </si>
  <si>
    <t>1. Mở tab Trang chủ</t>
  </si>
  <si>
    <t>Từ trên xuống: nút tìm kiếm, chip Cửa hàng / Năm / Tháng, Thao tác nhanh, nhắc khoá sổ (nếu có), Kết quả kinh doanh, Quỹ tiền, Mua hàng &amp; công nợ NCC, Hao hụt kiểm kê</t>
  </si>
  <si>
    <t>1. Bấm chip Năm
2. Bấm chip Tháng, chọn 9
3. Bấm chip Cửa hàng, chọn A rồi Tất cả</t>
  </si>
  <si>
    <t>Năm chỉ có 2026; Tháng chỉ 7–10, mặc định 10. Đổi tháng, cửa hàng thì mọi khối tính lại</t>
  </si>
  <si>
    <t>1. Xem Thao tác nhanh
2. Bấm Thu tiền, Chi tiền</t>
  </si>
  <si>
    <t>Mặc định Thu tiền, Chi tiền, Nhập mua, Kiểm kê, Kê khai thuế. Thu, Chi hỏi tiền mặt hay ngân hàng trước rồi mở form</t>
  </si>
  <si>
    <t>Trang chủ › Tuỳ chỉnh</t>
  </si>
  <si>
    <t>1. Bấm Tuỳ chỉnh
2. Chọn thêm, đổi thứ tự lên/xuống, bỏ chọn, tìm
3. Chọn tới mục thứ 9
4. Lưu
5. Bấm Khôi phục</t>
  </si>
  <si>
    <t>Chọn quá 8 báo 'Tối đa 8 thao tác'. Lưu xong trang chủ hiện tối đa 5 ô theo thứ tự mới. Khôi phục về mặc định. Không có mục ngoài gói</t>
  </si>
  <si>
    <t>1. Để mốc khoá sổ cũ hơn kỳ đang mở từ 2 tháng
2. Bấm 'Khoá sổ ›'
3. Khoá đủ rồi về trang chủ</t>
  </si>
  <si>
    <t>Hiện 'Tháng X/YYYY chưa khoá sổ'; bấm mở Khoá sổ; khoá xong thì hết nhắc</t>
  </si>
  <si>
    <t>1. Chọn tháng 10, cửa hàng A
2. Đọc lợi nhuận, biên, các dòng
3. So với web cùng tháng, cửa hàng</t>
  </si>
  <si>
    <t>Lợi nhuận = Doanh thu thuần − NVL − Hoạt động − Phân bổ; lỗ thì hiện 'Lỗ …'. Số khớp trang chủ web</t>
  </si>
  <si>
    <t>1. Bấm 'Xem BC ›'
2. Bấm Chi phí NVL
3. Bấm Chi phí hoạt động
4. Bấm Chi phí phân bổ nhiều tháng
5. Bấm Xem hiệu quả kinh doanh 13 tháng</t>
  </si>
  <si>
    <t>Mở lần lượt: KQKD 10.2.3, màn Chi phí NVL, màn Chi phí hoạt động, Chi phí phân bổ 8.1.1, hộp lãi lỗ 13 tháng</t>
  </si>
  <si>
    <t>1. Đọc tổng tồn quỹ
2. Bấm số tổng
3. Bấm một quỹ trên vòng tròn
4. Bấm Tất cả quỹ (n)</t>
  </si>
  <si>
    <t>Tổng khớp web. Mở chi tiết: Tồn đầu + Thu − Chi = Tồn cuối, số dư từng ngày, giao dịch gần nhất</t>
  </si>
  <si>
    <t>1. Mở menu Xem sổ
2. Bấm Xem dòng tiền 13 tháng
3. Đơn vị chưa có quỹ: xem thẻ, bấm Tạo quỹ</t>
  </si>
  <si>
    <t>Menu có Sổ quỹ tiền mặt 2.2.1, Sổ ngân hàng 2.2.3. Có biểu đồ dòng tiền 13 tháng. Chưa có quỹ hiện 'Chưa có quỹ tiền nào', Tạo quỹ mở form thêm Quỹ tiền</t>
  </si>
  <si>
    <t>1. Đọc giá trị mua, top mặt hàng mua nhiều, top NCC nợ nhiều
2. Bấm link Bảng kê mua hàng, Công nợ NCC</t>
  </si>
  <si>
    <t>Số khớp web; link mở 4.2.7 và 4.2.3</t>
  </si>
  <si>
    <t>1. Bấm Mua hàng
2. Bấm Chi trả NCC</t>
  </si>
  <si>
    <t>Mở form phiếu mua 4.1.1; mở form phiếu chi lý do CHI02 Thanh toán công nợ NCC</t>
  </si>
  <si>
    <t>1. Đọc tiến độ kiểm kê theo cửa hàng, thiếu nhiều nhất, thừa nhiều nhất
2. Bấm link Báo cáo kiểm kê
3. Bấm Kiểm kê ngay</t>
  </si>
  <si>
    <t>Chỉ số lượng, khớp web; link mở 5.2.15; Kiểm kê ngay mở form phiếu kiểm kê</t>
  </si>
  <si>
    <t>Trang chủ › KQKD</t>
  </si>
  <si>
    <t>1. Mở màn
2. Bấm một dòng lý do
3. Bấm một phiếu</t>
  </si>
  <si>
    <t>Bấm dòng xổ các phiếu chi ngay bên dưới; bấm phiếu mở xem phiếu. Tổng khớp dòng Chi phí hoạt động</t>
  </si>
  <si>
    <t>1. Bấm Lập phiếu chi</t>
  </si>
  <si>
    <t>Hỏi Chi tiền mặt hay Chi ngân hàng rồi mở form tương ứng</t>
  </si>
  <si>
    <t>1. Chọn Tất cả cửa hàng
2. Mở Chi phí NVL
3. Bấm một cửa hàng</t>
  </si>
  <si>
    <t>Danh sách theo cửa hàng; bấm cửa hàng thì đổi cửa hàng làm việc sang cửa hàng đó</t>
  </si>
  <si>
    <t>1. Xem một cửa hàng
2. Bấm Đổi cách tính, lần lượt chọn Phiếu nhập mua, iPOS Inventory, Nhập tay</t>
  </si>
  <si>
    <t>Phiếu nhập mua có link 4.1.1; iPOS Inventory hiện giá thành món và NVL tiêu hao; Nhập tay hiện ô giá từng món, món chưa có giá tô vàng</t>
  </si>
  <si>
    <t>1. Chọn tháng đã khoá
2. Thử đổi cách tính, sửa giá</t>
  </si>
  <si>
    <t>Không sửa được. Đổi cách tính chỉ tính lại từ tháng chưa khoá đầu tiên</t>
  </si>
  <si>
    <t>Trang chủ › Quỹ tiền</t>
  </si>
  <si>
    <t>1. Mở từ chi tiết quỹ
2. Lọc Tất cả / Thu / Chi
3. Bấm một giao dịch</t>
  </si>
  <si>
    <t>4 ô tóm tắt Tồn đầu, Thu, Chi, Tồn cuối; giao dịch gom theo ngày, mới nhất trên cùng; bấm mở phiếu</t>
  </si>
  <si>
    <t>1. Ở quỹ tiền mặt bấm Thu tiền, Chi tiền
2. Ở tài khoản ngân hàng bấm Thu tiền, Chi tiền</t>
  </si>
  <si>
    <t>Quỹ tiền mặt mở phiếu thu/chi; ngân hàng mở báo có/UNC; quỹ điền sẵn</t>
  </si>
  <si>
    <t>Trang chủ › nút tìm</t>
  </si>
  <si>
    <t>1. Bấm nút tìm ở Trang chủ
2. Gõ 'so quy'
3. Gõ 'kiem ke'
4. Bấm một kết quả</t>
  </si>
  <si>
    <t>Tìm không dấu được; ra đúng màn, tab loại phiếu, danh mục, báo cáo; bấm mở đúng màn</t>
  </si>
  <si>
    <t>1. Gõ 'tai san', 'nguoi dung', 'tai khoan', 'dieu chuyen'</t>
  </si>
  <si>
    <t>Không có kết quả màn ngoài gói</t>
  </si>
  <si>
    <t>1. Mở tab Nghiệp vụ</t>
  </si>
  <si>
    <t>Chip STANDARD, dòng 'n nghiệp vụ · m nhóm'. Nhóm: Thu chi, Kế toán bán hàng (Xuất bán POS), Kế toán mua hàng, Kiểm kê, Chi phí phân bổ, Kê khai thuế</t>
  </si>
  <si>
    <t>1. Gõ 'mua'
2. Gõ 'xyz'</t>
  </si>
  <si>
    <t>Bước 1 lọc ra Mua hàng. Bước 2 báo 'Không tìm thấy nghiệp vụ phù hợp'</t>
  </si>
  <si>
    <t>Nghiệp vụ › Thu chi</t>
  </si>
  <si>
    <t>1. Mở Thu chi
2. Xem tab, thẻ tổng kỳ</t>
  </si>
  <si>
    <t>Tab Tất cả, Tiền mặt, Ngân hàng, Chuyển quỹ, Báo cáo theo dõi; thẻ tổng thu, chi trong kỳ; danh sách gom theo ngày</t>
  </si>
  <si>
    <t>1. Tìm theo số phiếu, đối tượng
2. Mở bộ lọc: thời gian, cửa hàng, trạng thái, loại phiếu, đối tượng, nguồn, lý do
3. Đổi sắp xếp</t>
  </si>
  <si>
    <t>Danh sách lọc, sắp xếp đúng; thẻ tổng tính lại theo bộ lọc</t>
  </si>
  <si>
    <t>1. Ở tab Tất cả bấm +
2. Ở tab Tiền mặt bấm +
3. Ở tab Chuyển quỹ bấm +</t>
  </si>
  <si>
    <t>Tab Tất cả hỏi loại phiếu (Thu, Chi, Báo có, UNC, Chuyển quỹ); tab Tiền mặt chỉ hỏi Thu/Chi tiền mặt; tab Chuyển quỹ mở thẳng form</t>
  </si>
  <si>
    <t>1. Lọc tháng 10</t>
  </si>
  <si>
    <t>Có phiếu đồng bộ FABi (nhãn nguồn FABi), phiếu lương, thuê nhà, phiếu thanh toán sinh từ phiếu mua</t>
  </si>
  <si>
    <t>Thu chi › +</t>
  </si>
  <si>
    <t>1. Chọn cửa hàng A, bấm + › Thu tiền mặt
2. Chọn quỹ, lý do, ngày, đối tượng, nhập số tiền
3. Lưu</t>
  </si>
  <si>
    <t>Lưu xong ra màn 'Lưu phiếu thành công' (Xem chi tiết, Lập mới, Về danh sách, Home). Phiếu đã vào sổ ngay, không có bước Ghi sổ</t>
  </si>
  <si>
    <t>1. Bỏ trống quỹ, lưu
2. Số tiền 0, lưu
3. Xoá dòng chi tiết cuối cùng
4. Ngày trước ngày đầu năm tài chính</t>
  </si>
  <si>
    <t>Báo 'Vui lòng chọn quỹ tiền'; 'Vui lòng nhập số tiền lớn hơn 0'; 'Phiếu phải có ít nhất 1 dòng chi tiết'; báo ngày không hợp lệ. Không lưu</t>
  </si>
  <si>
    <t>1. Phiếu tiền mặt cửa hàng A: mở chọn quỹ
2. Phiếu ngân hàng: mở chọn quỹ</t>
  </si>
  <si>
    <t>Tiền mặt chỉ có quỹ tiền mặt của A; ngân hàng chỉ có tài khoản ngân hàng</t>
  </si>
  <si>
    <t>1. Chọn lý do thu nợ / đi vay / chi công nợ / cho vay
2. Bỏ trống đối tượng, lưu</t>
  </si>
  <si>
    <t>Báo thiếu đối tượng, không lưu</t>
  </si>
  <si>
    <t>1. Ở ô Đối tượng bấm thêm mới, bỏ trống tên, lưu
2. Nhập tên, lưu
3. Ở ô Lý do thêm mới, bỏ trống tên</t>
  </si>
  <si>
    <t>Báo 'Vui lòng nhập tên đối tượng' / 'Vui lòng nhập tên lý do'. Nhập đủ thì thêm và chọn sẵn vào phiếu</t>
  </si>
  <si>
    <t>1. Lập phiếu chi, chọn lý do là chi phí
2. Mở ô Tháng ghi nhận</t>
  </si>
  <si>
    <t>Ô chỉ hiện với lý do chi phí; mặc định tháng của ngày phiếu; chỉ chọn tháng trước chưa khoá sổ</t>
  </si>
  <si>
    <t>1. Tab Chuyển quỹ bấm +
2. Chọn quỹ đi, quỹ đến, số tiền, lưu</t>
  </si>
  <si>
    <t>Form không có thẻ Chi tiết; lưu xong quỹ đi giảm, quỹ đến tăng</t>
  </si>
  <si>
    <t>1. Lập phiếu chi lý do Chi phí chờ phân bổ, lưu
2. Mở lại phiếu, bấm Sửa</t>
  </si>
  <si>
    <t>Phiếu đã có thẻ phân bổ thì báo 'Không sửa được…' kèm nút Mở thẻ</t>
  </si>
  <si>
    <t>Thu chi › bấm phiếu</t>
  </si>
  <si>
    <t>1. Mở một phiếu
2. Chuyển Chi tiết / Lịch sử
3. Mở menu ⋯</t>
  </si>
  <si>
    <t>Có Chi tiết, Lịch sử; không có Đính kèm, Hạch toán. Chân có nút Sửa phiếu; menu có Sửa, Sao chép, Xoá chứng từ; không có Xuất Excel, In phiếu</t>
  </si>
  <si>
    <t>1. Sửa số tiền, lưu
2. Sao chép
3. Xoá, bấm huỷ ở hộp xác nhận
4. Xoá, đồng ý</t>
  </si>
  <si>
    <t>Sửa cập nhật số; sao chép mở form phiếu mới số mới; xoá hỏi 'Phiếu đã xoá không lấy lại được', đồng ý thì ra màn 'Xoá phiếu thành công'</t>
  </si>
  <si>
    <t>Xem phiếu › Lịch sử</t>
  </si>
  <si>
    <t>1. Sửa một phiếu
2. Mở tab Lịch sử</t>
  </si>
  <si>
    <t>Dòng thời gian gom theo ngày, có lần tạo, lần sửa, người làm</t>
  </si>
  <si>
    <t>Nghiệp vụ › Xuất bán POS</t>
  </si>
  <si>
    <t>1. Mở Xuất bán POS
2. Tìm nút +
3. Mở một đơn, xem chân màn</t>
  </si>
  <si>
    <t>Không có nút lập phiếu. Chân chỉ có nút Đóng: không In phiếu, không Xem hạch toán, không Sửa, Trả hàng, Huỷ</t>
  </si>
  <si>
    <t>1. Đổi khoảng ngày
2. Dùng các ô lọc
3. Đổi cửa hàng</t>
  </si>
  <si>
    <t>Danh sách và tổng tính lại đúng</t>
  </si>
  <si>
    <t>Xuất bán POS › bấm đơn</t>
  </si>
  <si>
    <t>1. Mở một đơn
2. Tìm hàng hoá trong đơn
3. Bấm chép mã tra cứu
4. Kiểm dòng giảm thuế, phương thức thanh toán</t>
  </si>
  <si>
    <t>Dòng món khớp FABi; có Giảm thuế GTGT, không có cột thuế; chép được mã tra cứu</t>
  </si>
  <si>
    <t>Xuất bán POS › Báo cáo theo dõi</t>
  </si>
  <si>
    <t>1. Mở tab Báo cáo theo dõi
2. Bấm một báo cáo</t>
  </si>
  <si>
    <t>Chỉ có báo cáo bán hàng của gói Standard, mở đúng báo cáo</t>
  </si>
  <si>
    <t>Nghiệp vụ › Mua hàng</t>
  </si>
  <si>
    <t>1. Mở Mua hàng</t>
  </si>
  <si>
    <t>Có tab Chứng từ mua hàng và Báo cáo theo dõi; danh sách lọc theo cửa hàng, kỳ</t>
  </si>
  <si>
    <t>Mua hàng › +</t>
  </si>
  <si>
    <t>1. Bấm +
2. Chọn NCC, kho nhập, ngày, chọn 2 mặt hàng, nhập số lượng, đơn giá
3. Không tích Đã thanh toán, lưu</t>
  </si>
  <si>
    <t>Khối tổng 5 dòng tính đúng; không có quy đổi ĐVT. Lưu xong ra màn Thành công; phiếu còn nợ</t>
  </si>
  <si>
    <t>1. Lưu khi chưa chọn NCC
2. Chưa chọn kho
3. Chưa có mặt hàng
4. Bỏ trống thời gian
5. Ngày trước đầu năm tài chính</t>
  </si>
  <si>
    <t>Báo lần lượt 'Vui lòng chọn nhà cung cấp', '…kho nhận', '…chọn ít nhất một mặt hàng', '…chọn thời gian', 'Ngày chứng từ phải từ ngày đầu năm … trở đi'</t>
  </si>
  <si>
    <t>1. Tích Đã thanh toán
2. Bỏ trống quỹ, lưu
3. Chọn quỹ, lưu</t>
  </si>
  <si>
    <t>Hiện ô Quỹ thanh toán; thiếu quỹ báo lỗi. Lưu xong tự sinh phiếu chi/UNC bằng tổng tiền, tham chiếu hai chiều</t>
  </si>
  <si>
    <t>1. Tích Nhận kèm hoá đơn
2. Bỏ trống Số HĐ, Ký hiệu, Ngày HĐ lần lượt, lưu</t>
  </si>
  <si>
    <t>Báo 'Vui lòng nhập số hoá đơn', '…nhập ký hiệu', '…chọn ngày hoá đơn'</t>
  </si>
  <si>
    <t>1. Ở ô NCC bấm thêm mới, bỏ trống tên
2. Nhập tên, lưu</t>
  </si>
  <si>
    <t>Báo 'Vui lòng nhập tên nhà cung cấp'; nhập đủ thì chọn sẵn vào phiếu</t>
  </si>
  <si>
    <t>Mua hàng › bấm phiếu</t>
  </si>
  <si>
    <t>1. Mở phiếu còn nợ, bấm Thanh toán
2. Chọn tiền mặt / ngân hàng, nhập số tiền vượt số còn nợ
3. Nhập hợp lệ, lưu</t>
  </si>
  <si>
    <t>Mở màn Thanh toán; vượt số còn nợ báo lỗi; hợp lệ thì lập phiếu chi/UNC trả NCC, số còn nợ giảm</t>
  </si>
  <si>
    <t>1. Mở phiếu đã trả một phần, bấm Sửa</t>
  </si>
  <si>
    <t>Không sửa được, có nút Mở phiếu chi</t>
  </si>
  <si>
    <t>Nghiệp vụ › Kiểm kê</t>
  </si>
  <si>
    <t>1. Mở Kiểm kê</t>
  </si>
  <si>
    <t>Tab Kiểm kê, Xuất điều chỉnh, Nhập điều chỉnh, Báo cáo</t>
  </si>
  <si>
    <t>Kiểm kê › +</t>
  </si>
  <si>
    <t>1. Bấm +
2. Chọn kho, thêm mặt hàng
3. Nhập tồn thực tế: một hàng ít hơn, một hàng nhiều hơn, một hàng bằng
4. Lưu</t>
  </si>
  <si>
    <t>Mỗi thẻ hàng có Tồn sổ sách, Thực tế, Chênh lệch kèm chip Thiếu / Thừa / Khớp; không có tiền. Lưu xong mở phiếu/màn Thành công</t>
  </si>
  <si>
    <t>1. Lưu khi chưa chọn cửa hàng, kho
2. Chưa có mặt hàng
3. Bỏ trống thời gian, ngày trước đầu năm</t>
  </si>
  <si>
    <t>Báo 'Vui lòng chọn cửa hàng', '…kho', '…ít nhất một mặt hàng', '…thời gian', lỗi ngày</t>
  </si>
  <si>
    <t>Kiểm kê › tab Xuất/Nhập điều chỉnh</t>
  </si>
  <si>
    <t>1. Lưu phiếu kiểm kê có thiếu và thừa
2. Mở tab Xuất điều chỉnh, Nhập điều chỉnh
3. Gõ đường dẫn tạo mới phiếu điều chỉnh</t>
  </si>
  <si>
    <t>Có XDC, NDC cùng số với phiếu KK; không có nút +; đường dẫn tạo mới quay về danh sách</t>
  </si>
  <si>
    <t>Kiểm kê › bấm phiếu</t>
  </si>
  <si>
    <t>Không sửa được; xoá thì xoá luôn phiếu điều chỉnh (hoặc báo chặn nếu có tham chiếu)</t>
  </si>
  <si>
    <t>Nghiệp vụ › Chi phí phân bổ</t>
  </si>
  <si>
    <t>1. Mở Chi phí phân bổ</t>
  </si>
  <si>
    <t>Chỉ thẻ chi phí trả trước; không có tab Báo cáo theo dõi, còn 1 tab thì ẩn hàng tab</t>
  </si>
  <si>
    <t>Chi phí phân bổ › +</t>
  </si>
  <si>
    <t>1. Bấm +
2. Chọn Thẻ chi phí, nhập đủ, lưu
3. Bấm +, chọn Thẻ chi phí dư đầu kỳ, lưu</t>
  </si>
  <si>
    <t>Tạo được cả 2 kiểu thẻ, số thẻ TPB… và TPBDK…</t>
  </si>
  <si>
    <t>1. Bỏ trống tên
2. Số tiền 0
3. Số tháng phân bổ 0
4. Thẻ dư đầu kỳ: số tháng đã phân bổ ≥ số tháng phân bổ
5. Ngày ghi tăng trước đầu năm</t>
  </si>
  <si>
    <t>Báo 'Vui lòng nhập tên mục chi phí / CCDC', 'Số tiền phải lớn hơn 0', 'Số tháng phân bổ phải lớn hơn 0', 'Số tháng đã phân bổ phải nhỏ hơn số tháng phân bổ', lỗi ngày</t>
  </si>
  <si>
    <t>Chi phí phân bổ › bấm thẻ</t>
  </si>
  <si>
    <t>1. Thẻ 10.000.000, 3 tháng
2. Mở tab Lịch phân bổ</t>
  </si>
  <si>
    <t>3.333.333 / 3.333.333 / 3.333.334, mỗi kỳ ngày cuối tháng; kỳ tới tháng hiện tại Đã phân bổ, kỳ sau Chờ phân bổ</t>
  </si>
  <si>
    <t>Xem thẻ › Sửa</t>
  </si>
  <si>
    <t>1. Sửa số tiền một kỳ cho tổng lệch
2. Lưu</t>
  </si>
  <si>
    <t>Không thêm, không xoá dòng. Tổng lệch thì hỏi 'Tổng phân bổ không khớp' và có Điều chỉnh</t>
  </si>
  <si>
    <t>1. Sao chép thẻ
2. Xoá thẻ có tháng bắt đầu trong kỳ đã khoá
3. Xoá thẻ chưa khoá</t>
  </si>
  <si>
    <t>Sao chép mở form mới; bước 2 chặn xoá; bước 3 xoá được</t>
  </si>
  <si>
    <t>Nghiệp vụ › Kê khai thuế hoặc Thao tác nhanh</t>
  </si>
  <si>
    <t>App điện thoại, HKD nhóm 1 hoặc nhóm 2 theo % doanh thu</t>
  </si>
  <si>
    <t>1. Mở Kê khai thuế
2. Lọc bằng nút phễu, chip</t>
  </si>
  <si>
    <t>Danh sách tờ khai lọc đúng năm, loại, trạng thái</t>
  </si>
  <si>
    <t>Kê khai thuế › nút nổi</t>
  </si>
  <si>
    <t>1. Bấm Lập tờ khai, chọn kỳ
2. Đi qua 4 bước
3. Tải XML
4. Ghi nhận Đã nộp</t>
  </si>
  <si>
    <t>Số liệu doanh thu, GTGT, TNCN khớp bản web cùng kỳ; tải được XML; trạng thái Đã nộp</t>
  </si>
  <si>
    <t>1. Lập thêm tờ khai cho kỳ đã có</t>
  </si>
  <si>
    <t>Thành tờ khai bổ sung lần kế</t>
  </si>
  <si>
    <t>1. Mở Báo cáo theo dõi</t>
  </si>
  <si>
    <t>Hiện đúng, chỉ báo cáo của gói Standard</t>
  </si>
  <si>
    <t>1. Mở tab Báo cáo
2. Xem các nhóm</t>
  </si>
  <si>
    <t>Chỉ có báo cáo của gói: Sổ quỹ 2.2.1, Sổ ngân hàng 2.2.3, Tổng hợp bán hàng, Bảng kê chi tiết bán hàng, Sổ doanh thu 3.2.5 (theo chế độ), Bảng kê mua hàng 4.2.7, Công nợ NCC 4.2.3, Xuất nhập tồn 5.2.3, 5.2.9, 5.2.10, Báo cáo kiểm kê 5.2.15, KQKD 10.2.3. Không có nhóm Thuế; Thẻ kho không có trong danh sách. Đối chiếu với danh sách web</t>
  </si>
  <si>
    <t>1. Tìm 'cong no'
2. Mở một báo cáo rồi quay lại
3. Nhấn giữ một báo cáo để ghim</t>
  </si>
  <si>
    <t>Tìm không dấu ra đúng; báo cáo vừa mở lên mục Gần đây; ghim xong có trong mục Ghim</t>
  </si>
  <si>
    <t>Mở một báo cáo</t>
  </si>
  <si>
    <t>1. Mở một báo cáo
2. Đổi Kỳ, Cửa hàng, Từ ngày–Đến ngày
3. Bấm Áp dụng</t>
  </si>
  <si>
    <t>Bộ lọc mở trước, bấm Áp dụng mới tải số liệu; số liệu đúng kỳ, cửa hàng đã chọn</t>
  </si>
  <si>
    <t>1. Chọn Từ ngày 05/10
2. Chọn Đến ngày sang tháng 11</t>
  </si>
  <si>
    <t>Đến ngày không vượt cuối tháng của Từ ngày</t>
  </si>
  <si>
    <t>1. Bấm Tìm kiếm phát sinh, gõ số phiếu
2. Bấm Ghim
3. Bấm Quay lại</t>
  </si>
  <si>
    <t>Lọc dòng phát sinh đúng; ghim được; quay về tab Báo cáo</t>
  </si>
  <si>
    <t>Sổ quỹ, Sổ ngân hàng, Bảng kê…</t>
  </si>
  <si>
    <t>1. Mở Sổ quỹ tiền mặt
2. Bấm Tải file Excel
3. Bấm Xoay màn hình
4. Bấm số chứng từ</t>
  </si>
  <si>
    <t>Tải được file đúng số liệu; xoay ngang xem đủ cột; số chứng từ mở xem phiếu</t>
  </si>
  <si>
    <t>1. Mở sổ tháng 10, cửa hàng A
2. So với web</t>
  </si>
  <si>
    <t>Tồn đầu, thu, chi, tồn cuối và từng dòng khớp web</t>
  </si>
  <si>
    <t>1. Mở sổ tháng 10
2. So với web</t>
  </si>
  <si>
    <t>Khớp web</t>
  </si>
  <si>
    <t>1. Mở báo cáo tháng 10
2. So với web</t>
  </si>
  <si>
    <t>Khớp web; khớp tổng Xuất bán POS</t>
  </si>
  <si>
    <t>1. Mở báo cáo
2. So với web</t>
  </si>
  <si>
    <t>1. HKD nhóm 1
2. HKD theo % doanh thu
3. HKD theo lợi nhuận
4. Doanh nghiệp TT58</t>
  </si>
  <si>
    <t>S1a-HKD (không có Tải Excel); S2a-HKD; không có sổ; S1-DNSN</t>
  </si>
  <si>
    <t>1. Mở báo cáo
2. So với phiếu 4.1.1</t>
  </si>
  <si>
    <t>Mỗi mặt hàng của phiếu một dòng, khớp web</t>
  </si>
  <si>
    <t>1. Mở báo cáo
2. Kiểm một NCC
3. Bấm tên NCC</t>
  </si>
  <si>
    <t>Nợ đầu + Mua − Trả hàng − Thanh toán = Nợ cuối, khớp web và trang chủ; bấm tên mở lịch sử công nợ</t>
  </si>
  <si>
    <t>1. Mở báo cáo, xem dạng dòng rồi chip Bảng
2. Bấm Xem mẫu in
3. Bấm một mặt hàng</t>
  </si>
  <si>
    <t>Chỉ số lượng; kho đi theo cửa hàng; bấm hàng mở Thẻ kho 5.2.1 cùng hàng, kho, kỳ</t>
  </si>
  <si>
    <t>1. Mở từng báo cáo
2. So với web</t>
  </si>
  <si>
    <t>Tab Báo cáo hoặc Trang chủ</t>
  </si>
  <si>
    <t>1. Mở báo cáo tháng 10, cửa hàng A
2. Xem mẫu in</t>
  </si>
  <si>
    <t>Bản lãi lỗ đơn giản, không theo B02; khớp trang chủ app và web</t>
  </si>
  <si>
    <t>1. Mở tab Khác</t>
  </si>
  <si>
    <t>Ô tìm 'Tìm danh mục, thiết lập…', thẻ người dùng, nhóm Danh mục, Thiết lập, Đơn vị kế toán, Trải nghiệm gói, nút Đăng xuất</t>
  </si>
  <si>
    <t>1. Gõ 'quy'
2. Gõ 'khoa so'</t>
  </si>
  <si>
    <t>Lọc ra Quỹ tiền; Khoá sổ</t>
  </si>
  <si>
    <t>1. Bấm đổi đơn vị
2. Chọn đơn vị khác
3. Đổi về Phố Mây</t>
  </si>
  <si>
    <t>Gói đổi theo đơn vị; cửa hàng về Tất cả cửa hàng</t>
  </si>
  <si>
    <t>1. Bấm Đăng xuất</t>
  </si>
  <si>
    <t>Về màn đăng nhập</t>
  </si>
  <si>
    <t>Khác › Danh mục</t>
  </si>
  <si>
    <t>1. Xem nhóm Danh mục</t>
  </si>
  <si>
    <t>Hàng hoá, Nhóm hàng hoá, Đối tượng, Nhóm đối tượng, Kho, Cửa hàng, Quỹ tiền, Phương thức thanh toán, Lý do, Nhóm lý do. Không có Tài khoản, Nhóm mục chi phí, Nhóm công việc, Nhóm kho</t>
  </si>
  <si>
    <t>1. Mở một danh mục
2. Lọc Đang hoạt động / Ngừng / Tất cả
3. Tìm theo mã, tên</t>
  </si>
  <si>
    <t>Lọc, tìm đúng</t>
  </si>
  <si>
    <t>Khác › Danh mục › Hàng hoá</t>
  </si>
  <si>
    <t>1. Thêm hàng, bỏ trống ô có dấu *
2. Nhập đủ, lưu
3. Đổi loại Thành phẩm</t>
  </si>
  <si>
    <t>Ô bắt buộc có dấu *, thiếu thì báo lỗi; không có ĐVT phụ, mã vạch, giá mua/bán; Thành phẩm tắt Theo dõi tồn kho</t>
  </si>
  <si>
    <t>Khác › Danh mục › Đối tượng</t>
  </si>
  <si>
    <t>1. Thêm từng loại
2. Lưu thiếu tên, trùng mã</t>
  </si>
  <si>
    <t>Thêm được; thiếu tên, trùng mã báo lỗi; không có số thẻ ngân hàng</t>
  </si>
  <si>
    <t>1. Thêm nhóm
2. Sửa
3. Xoá</t>
  </si>
  <si>
    <t>Thao tác đúng</t>
  </si>
  <si>
    <t>Khác › Danh mục › Kho</t>
  </si>
  <si>
    <t>1. Mở Kho</t>
  </si>
  <si>
    <t>Không có nút thêm kho; mỗi cửa hàng một kho</t>
  </si>
  <si>
    <t>Khác › Danh mục › Quỹ tiền</t>
  </si>
  <si>
    <t>1. Thêm quỹ tiền mặt, nhập Số dư ban đầu
2. Mở Sổ quỹ kỳ đầu</t>
  </si>
  <si>
    <t>Có ô Số dư ban đầu; số dư lên sổ đầu kỳ</t>
  </si>
  <si>
    <t>Khác › Danh mục › Lý do</t>
  </si>
  <si>
    <t>1. Thêm lý do
2. Mở ô loại</t>
  </si>
  <si>
    <t>Chỉ chọn Thu tiền hoặc Chi tiền; tích là chi phí được</t>
  </si>
  <si>
    <t>1. Mở Nhóm lý do
2. Mở Phương thức thanh toán</t>
  </si>
  <si>
    <t>Không có thêm, sửa, xoá; nhóm lý do đủ 6 nhóm S2c-HKD</t>
  </si>
  <si>
    <t>Khác › Danh mục › Cửa hàng</t>
  </si>
  <si>
    <t>1. Mở một cửa hàng
2. Đổi Cách tính NVL
3. Bật/tắt Đồng bộ thu chi FABi</t>
  </si>
  <si>
    <t>Có Kho, Nguồn, Cách tính NVL, công tắc đồng bộ; đổi xong khớp web và màn Chi phí NVL</t>
  </si>
  <si>
    <t>1. Bấm nút đồng bộ FABi</t>
  </si>
  <si>
    <t>Lấy cửa hàng mới từ FABi, không nhân đôi</t>
  </si>
  <si>
    <t>Cửa hàng › Thêm</t>
  </si>
  <si>
    <t>1. Mở Thêm, chưa chọn cửa hàng nào
2. Chọn 2 cửa hàng, tích khai số dư ban đầu
3. Bấm 'Thêm 2 cửa hàng'</t>
  </si>
  <si>
    <t>Chưa chọn thì nút khoá; nhãn nút đổi theo số đã chọn; thêm xong chuyển sang Danh mục Quỹ tiền</t>
  </si>
  <si>
    <t>Khác › Thiết lập</t>
  </si>
  <si>
    <t>1. Xoá tên, lưu
2. Nhập ngày đầu năm sai dạng
3. Đổi loại hình sang Doanh nghiệp</t>
  </si>
  <si>
    <t>Báo 'Tên đơn vị không được để trống'; 'Ngày đầu năm cần nhập dạng dd/mm/yyyy'; doanh nghiệp cố định TT58 trường hợp 1</t>
  </si>
  <si>
    <t>1. Đổi nhóm 1–4
2. Chọn cửa hàng chính, kênh, sàn
3. Lưu, so với web</t>
  </si>
  <si>
    <t>Lưu đúng, web hiện cùng thiết lập</t>
  </si>
  <si>
    <t>1. Mở Cấu hình kế toán</t>
  </si>
  <si>
    <t>Không có Nợ/Có; có mẫu đánh số chứng từ, đồng bộ thu chi FABi theo cửa hàng</t>
  </si>
  <si>
    <t>Khác › Thiết lập › Khoá sổ</t>
  </si>
  <si>
    <t>1. Mở Khoá sổ
2. Bấm từng link ở 5 bước kiểm tra</t>
  </si>
  <si>
    <t>Có bước kiểm kê, phân bổ, chi phí chờ ghi tăng, đối chiếu tồn quỹ, phiếu FABi chờ; link mở đúng màn (đối chiếu quỹ mở Lịch sử thu chi)</t>
  </si>
  <si>
    <t>1. Chọn cửa hàng A, khoá tháng kế
2. Chọn Tất cả cửa hàng, khoá
3. Mở phiếu tháng đã khoá</t>
  </si>
  <si>
    <t>Bước 1 chỉ A bị khoá. Bước 2 mỗi cửa hàng khoá tháng kế của nó. Phiếu tháng đã khoá chỉ xem</t>
  </si>
  <si>
    <t>1. Mở khoá, bỏ trống lý do
2. Nhập lý do</t>
  </si>
  <si>
    <t>Báo 'Nhập lý do mở khoá'; có lý do thì mở được, ghi vào lịch sử khoá</t>
  </si>
  <si>
    <t>Khác › Trải nghiệm gói</t>
  </si>
  <si>
    <t>1. Mở Gói thuê bao</t>
  </si>
  <si>
    <t>Thẻ gói đang dùng Standard; Plus, Pro nhãn Sắp ra mắt, không chuyển được sang gói chưa mở bán</t>
  </si>
  <si>
    <t>Mọi danh sách chứng từ</t>
  </si>
  <si>
    <t>1. Mở phiếu thu chi, mua hàng, kiểm kê
2. Xem chân màn, menu ⋯</t>
  </si>
  <si>
    <t>Không có Ghi sổ / Bỏ ghi sổ, Hạch toán, Đính kèm, Xuất Excel, In phiếu; nút chính là Sửa phiếu (phiếu mua còn nợ là Thanh toán)</t>
  </si>
  <si>
    <t>1. Xoá phiếu tháng đã khoá
2. Xoá phiếu chi có thẻ phân bổ thuộc kỳ khoá
3. Xoá phiếu mua có phiếu chi tham chiếu
4. Xoá phiếu có phiếu nhập liên quan</t>
  </si>
  <si>
    <t>Báo lần lượt: thuộc kỳ đã khoá sổ, không xoá được; thẻ phân bổ thuộc kỳ khoá; có phiếu … tham chiếu, xoá … trước; đã có phiếu nhập</t>
  </si>
  <si>
    <t>Sau khi lưu / xoá phiếu</t>
  </si>
  <si>
    <t>1. Lưu một phiếu
2. Lần lượt bấm Xem chi tiết, Lập mới, Về danh sách, Home</t>
  </si>
  <si>
    <t>Mở phiếu vừa lưu; mở form trống cùng loại; về danh sách; về Trang chủ</t>
  </si>
  <si>
    <t>App điện thoại, đơn vị doanh nghiệp gói Standard</t>
  </si>
  <si>
    <t>1. Đổi sang đơn vị doanh nghiệp gói Standard
2. Lập phiếu thu, mua, kiểm kê
3. Mở tab Báo cáo</t>
  </si>
  <si>
    <t>Không Nợ/Có, không Ghi sổ; sổ doanh thu chỉ S1-DNSN</t>
  </si>
  <si>
    <t>Thêm phiếu bất kỳ</t>
  </si>
  <si>
    <t>Thêm phiếu điền đầy đủ thông tin các trường</t>
  </si>
  <si>
    <t>Sửa chứng từ</t>
  </si>
  <si>
    <t>Check sửa all thông tin</t>
  </si>
  <si>
    <t>Khi sửa lưu lại là thông tin đã sửa ở cả chi tiết và danh sách. Check cả lịch sử của phiếu đã lưu lại lịch sử chưa</t>
  </si>
  <si>
    <t>Ở ngoài lọc tất cả cửa hàng thì thêm mới cần chọn cửa hàng, đã chọn cửa hàng thì thêm mới vào thẳng phiếu cho cửa hàng đó luôn
Chọn đối tượng các tt mst hay địa chỉ đều tự nhảy theo
Các màn đối tượng, mã hàng đều thêm được ngay tại màn hình mua hàng
Search thông tin theo mã hoặc tên đều được
Mã đã bỏ active không thêm được ở chứng từ
Với phương pháp tính thuế GTGT theo tỷ lệ doanh thu, thì giá trị nhập kho có cộng thuế 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</si>
</sst>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b/>
      <sz val="11"/>
      <color rgb="FFFFFFFF"/>
      <name val="Arial"/>
    </font>
    <font>
      <sz val="10"/>
      <name val="Arial"/>
    </font>
    <font>
      <b/>
      <sz val="14"/>
      <name val="Arial"/>
    </font>
    <font>
      <i/>
      <sz val="9"/>
      <color rgb="FF595959"/>
      <name val="Arial"/>
    </font>
    <font>
      <b/>
      <sz val="12"/>
      <name val="Arial"/>
    </font>
    <font>
      <b/>
      <sz val="10"/>
      <name val="Arial"/>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3" fillId="0" borderId="0" xfId="0" applyFont="1"/>
    <xf numFmtId="0" fontId="4" fillId="0" borderId="0" xfId="0" applyFont="1"/>
    <xf numFmtId="0" fontId="5" fillId="0" borderId="0" xfId="0" applyFont="1"/>
    <xf numFmtId="0" fontId="1" fillId="2" borderId="1" xfId="0" applyFont="1" applyFill="1" applyBorder="1" applyAlignment="1">
      <alignment horizontal="center"/>
    </xf>
    <xf numFmtId="0" fontId="2" fillId="0" borderId="1" xfId="0" applyFont="1" applyBorder="1"/>
    <xf numFmtId="9" fontId="2" fillId="0" borderId="1" xfId="0" applyNumberFormat="1" applyFont="1" applyBorder="1"/>
    <xf numFmtId="0" fontId="6" fillId="0" borderId="1" xfId="0" applyFont="1" applyBorder="1"/>
    <xf numFmtId="9" fontId="6" fillId="0" borderId="1" xfId="0" applyNumberFormat="1" applyFont="1" applyBorder="1"/>
    <xf numFmtId="0" fontId="6" fillId="0" borderId="0" xfId="0" applyFont="1"/>
    <xf numFmtId="0" fontId="2" fillId="0" borderId="0" xfId="0" applyFont="1"/>
    <xf numFmtId="0" fontId="1" fillId="2" borderId="1" xfId="0" applyFont="1" applyFill="1" applyBorder="1" applyAlignment="1">
      <alignment horizontal="center" vertical="center"/>
    </xf>
    <xf numFmtId="0" fontId="6" fillId="4" borderId="1" xfId="0" applyFont="1" applyFill="1" applyBorder="1"/>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164" fontId="2" fillId="3" borderId="1" xfId="0" applyNumberFormat="1" applyFont="1" applyFill="1" applyBorder="1" applyAlignment="1">
      <alignment vertical="top" wrapText="1"/>
    </xf>
  </cellXfs>
  <cellStyles count="1">
    <cellStyle name="Normal" xfId="0" builtinId="0"/>
  </cellStyles>
  <dxfs count="2">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workbookViewId="0"/>
  </sheetViews>
  <sheetFormatPr defaultRowHeight="14.4" x14ac:dyDescent="0.3"/>
  <cols>
    <col min="1" max="1" width="24" customWidth="1"/>
    <col min="2" max="7" width="12" customWidth="1"/>
  </cols>
  <sheetData>
    <row r="1" spans="1:7" ht="17.399999999999999" x14ac:dyDescent="0.3">
      <c r="A1" s="1" t="s">
        <v>0</v>
      </c>
    </row>
    <row r="2" spans="1:7" x14ac:dyDescent="0.3">
      <c r="A2" s="2" t="s">
        <v>1</v>
      </c>
    </row>
    <row r="4" spans="1:7" ht="15.6" x14ac:dyDescent="0.3">
      <c r="A4" s="3" t="s">
        <v>2</v>
      </c>
    </row>
    <row r="5" spans="1:7" x14ac:dyDescent="0.3">
      <c r="A5" s="4" t="s">
        <v>3</v>
      </c>
      <c r="B5" s="4" t="s">
        <v>4</v>
      </c>
      <c r="C5" s="4" t="s">
        <v>5</v>
      </c>
      <c r="D5" s="4" t="s">
        <v>6</v>
      </c>
      <c r="E5" s="4" t="s">
        <v>7</v>
      </c>
      <c r="F5" s="4" t="s">
        <v>8</v>
      </c>
      <c r="G5" s="4" t="s">
        <v>9</v>
      </c>
    </row>
    <row r="6" spans="1:7" x14ac:dyDescent="0.3">
      <c r="A6" s="5" t="s">
        <v>10</v>
      </c>
      <c r="B6" s="5">
        <f>COUNTIF(Web!$A$2:$A$155,A6)</f>
        <v>14</v>
      </c>
      <c r="C6" s="5">
        <f>COUNTIFS(Web!$A$2:$A$155,$A6,Web!$G$2:$G$155,"Đạt")</f>
        <v>0</v>
      </c>
      <c r="D6" s="5">
        <f>COUNTIFS(Web!$A$2:$A$155,$A6,Web!$G$2:$G$155,"Lỗi")</f>
        <v>0</v>
      </c>
      <c r="E6" s="5">
        <f>COUNTIFS(Web!$A$2:$A$155,$A6,Web!$G$2:$G$155,"Bỏ qua")</f>
        <v>0</v>
      </c>
      <c r="F6" s="5">
        <f>COUNTIFS(Web!$A$2:$A$155,$A6,Web!$G$2:$G$155,"Chưa test")</f>
        <v>14</v>
      </c>
      <c r="G6" s="6">
        <f t="shared" ref="G6:G19" si="0">IF(B6=0,0,(C6+D6+E6)/B6)</f>
        <v>0</v>
      </c>
    </row>
    <row r="7" spans="1:7" x14ac:dyDescent="0.3">
      <c r="A7" s="5" t="s">
        <v>11</v>
      </c>
      <c r="B7" s="5">
        <f>COUNTIF(Web!$A$2:$A$155,A7)</f>
        <v>12</v>
      </c>
      <c r="C7" s="5">
        <f>COUNTIFS(Web!$A$2:$A$155,$A7,Web!$G$2:$G$155,"Đạt")</f>
        <v>0</v>
      </c>
      <c r="D7" s="5">
        <f>COUNTIFS(Web!$A$2:$A$155,$A7,Web!$G$2:$G$155,"Lỗi")</f>
        <v>0</v>
      </c>
      <c r="E7" s="5">
        <f>COUNTIFS(Web!$A$2:$A$155,$A7,Web!$G$2:$G$155,"Bỏ qua")</f>
        <v>0</v>
      </c>
      <c r="F7" s="5">
        <f>COUNTIFS(Web!$A$2:$A$155,$A7,Web!$G$2:$G$155,"Chưa test")</f>
        <v>12</v>
      </c>
      <c r="G7" s="6">
        <f t="shared" si="0"/>
        <v>0</v>
      </c>
    </row>
    <row r="8" spans="1:7" x14ac:dyDescent="0.3">
      <c r="A8" s="5" t="s">
        <v>12</v>
      </c>
      <c r="B8" s="5">
        <f>COUNTIF(Web!$A$2:$A$155,A8)</f>
        <v>22</v>
      </c>
      <c r="C8" s="5">
        <f>COUNTIFS(Web!$A$2:$A$155,$A8,Web!$G$2:$G$155,"Đạt")</f>
        <v>0</v>
      </c>
      <c r="D8" s="5">
        <f>COUNTIFS(Web!$A$2:$A$155,$A8,Web!$G$2:$G$155,"Lỗi")</f>
        <v>0</v>
      </c>
      <c r="E8" s="5">
        <f>COUNTIFS(Web!$A$2:$A$155,$A8,Web!$G$2:$G$155,"Bỏ qua")</f>
        <v>0</v>
      </c>
      <c r="F8" s="5">
        <f>COUNTIFS(Web!$A$2:$A$155,$A8,Web!$G$2:$G$155,"Chưa test")</f>
        <v>22</v>
      </c>
      <c r="G8" s="6">
        <f t="shared" si="0"/>
        <v>0</v>
      </c>
    </row>
    <row r="9" spans="1:7" x14ac:dyDescent="0.3">
      <c r="A9" s="5" t="s">
        <v>13</v>
      </c>
      <c r="B9" s="5">
        <f>COUNTIF(Web!$A$2:$A$155,A9)</f>
        <v>16</v>
      </c>
      <c r="C9" s="5">
        <f>COUNTIFS(Web!$A$2:$A$155,$A9,Web!$G$2:$G$155,"Đạt")</f>
        <v>0</v>
      </c>
      <c r="D9" s="5">
        <f>COUNTIFS(Web!$A$2:$A$155,$A9,Web!$G$2:$G$155,"Lỗi")</f>
        <v>0</v>
      </c>
      <c r="E9" s="5">
        <f>COUNTIFS(Web!$A$2:$A$155,$A9,Web!$G$2:$G$155,"Bỏ qua")</f>
        <v>0</v>
      </c>
      <c r="F9" s="5">
        <f>COUNTIFS(Web!$A$2:$A$155,$A9,Web!$G$2:$G$155,"Chưa test")</f>
        <v>16</v>
      </c>
      <c r="G9" s="6">
        <f t="shared" si="0"/>
        <v>0</v>
      </c>
    </row>
    <row r="10" spans="1:7" x14ac:dyDescent="0.3">
      <c r="A10" s="5" t="s">
        <v>14</v>
      </c>
      <c r="B10" s="5">
        <f>COUNTIF(Web!$A$2:$A$155,A10)</f>
        <v>19</v>
      </c>
      <c r="C10" s="5">
        <f>COUNTIFS(Web!$A$2:$A$155,$A10,Web!$G$2:$G$155,"Đạt")</f>
        <v>0</v>
      </c>
      <c r="D10" s="5">
        <f>COUNTIFS(Web!$A$2:$A$155,$A10,Web!$G$2:$G$155,"Lỗi")</f>
        <v>0</v>
      </c>
      <c r="E10" s="5">
        <f>COUNTIFS(Web!$A$2:$A$155,$A10,Web!$G$2:$G$155,"Bỏ qua")</f>
        <v>0</v>
      </c>
      <c r="F10" s="5">
        <f>COUNTIFS(Web!$A$2:$A$155,$A10,Web!$G$2:$G$155,"Chưa test")</f>
        <v>19</v>
      </c>
      <c r="G10" s="6">
        <f t="shared" si="0"/>
        <v>0</v>
      </c>
    </row>
    <row r="11" spans="1:7" x14ac:dyDescent="0.3">
      <c r="A11" s="5" t="s">
        <v>15</v>
      </c>
      <c r="B11" s="5">
        <f>COUNTIF(Web!$A$2:$A$155,A11)</f>
        <v>9</v>
      </c>
      <c r="C11" s="5">
        <f>COUNTIFS(Web!$A$2:$A$155,$A11,Web!$G$2:$G$155,"Đạt")</f>
        <v>0</v>
      </c>
      <c r="D11" s="5">
        <f>COUNTIFS(Web!$A$2:$A$155,$A11,Web!$G$2:$G$155,"Lỗi")</f>
        <v>0</v>
      </c>
      <c r="E11" s="5">
        <f>COUNTIFS(Web!$A$2:$A$155,$A11,Web!$G$2:$G$155,"Bỏ qua")</f>
        <v>0</v>
      </c>
      <c r="F11" s="5">
        <f>COUNTIFS(Web!$A$2:$A$155,$A11,Web!$G$2:$G$155,"Chưa test")</f>
        <v>9</v>
      </c>
      <c r="G11" s="6">
        <f t="shared" si="0"/>
        <v>0</v>
      </c>
    </row>
    <row r="12" spans="1:7" x14ac:dyDescent="0.3">
      <c r="A12" s="5" t="s">
        <v>16</v>
      </c>
      <c r="B12" s="5">
        <f>COUNTIF(Web!$A$2:$A$155,A12)</f>
        <v>13</v>
      </c>
      <c r="C12" s="5">
        <f>COUNTIFS(Web!$A$2:$A$155,$A12,Web!$G$2:$G$155,"Đạt")</f>
        <v>0</v>
      </c>
      <c r="D12" s="5">
        <f>COUNTIFS(Web!$A$2:$A$155,$A12,Web!$G$2:$G$155,"Lỗi")</f>
        <v>2</v>
      </c>
      <c r="E12" s="5">
        <f>COUNTIFS(Web!$A$2:$A$155,$A12,Web!$G$2:$G$155,"Bỏ qua")</f>
        <v>0</v>
      </c>
      <c r="F12" s="5">
        <f>COUNTIFS(Web!$A$2:$A$155,$A12,Web!$G$2:$G$155,"Chưa test")</f>
        <v>0</v>
      </c>
      <c r="G12" s="6">
        <f t="shared" si="0"/>
        <v>0.15384615384615385</v>
      </c>
    </row>
    <row r="13" spans="1:7" x14ac:dyDescent="0.3">
      <c r="A13" s="5" t="s">
        <v>17</v>
      </c>
      <c r="B13" s="5">
        <f>COUNTIF(Web!$A$2:$A$155,A13)</f>
        <v>11</v>
      </c>
      <c r="C13" s="5">
        <f>COUNTIFS(Web!$A$2:$A$155,$A13,Web!$G$2:$G$155,"Đạt")</f>
        <v>0</v>
      </c>
      <c r="D13" s="5">
        <f>COUNTIFS(Web!$A$2:$A$155,$A13,Web!$G$2:$G$155,"Lỗi")</f>
        <v>0</v>
      </c>
      <c r="E13" s="5">
        <f>COUNTIFS(Web!$A$2:$A$155,$A13,Web!$G$2:$G$155,"Bỏ qua")</f>
        <v>0</v>
      </c>
      <c r="F13" s="5">
        <f>COUNTIFS(Web!$A$2:$A$155,$A13,Web!$G$2:$G$155,"Chưa test")</f>
        <v>11</v>
      </c>
      <c r="G13" s="6">
        <f t="shared" si="0"/>
        <v>0</v>
      </c>
    </row>
    <row r="14" spans="1:7" x14ac:dyDescent="0.3">
      <c r="A14" s="5" t="s">
        <v>18</v>
      </c>
      <c r="B14" s="5">
        <f>COUNTIF(Web!$A$2:$A$155,A14)</f>
        <v>7</v>
      </c>
      <c r="C14" s="5">
        <f>COUNTIFS(Web!$A$2:$A$155,$A14,Web!$G$2:$G$155,"Đạt")</f>
        <v>0</v>
      </c>
      <c r="D14" s="5">
        <f>COUNTIFS(Web!$A$2:$A$155,$A14,Web!$G$2:$G$155,"Lỗi")</f>
        <v>0</v>
      </c>
      <c r="E14" s="5">
        <f>COUNTIFS(Web!$A$2:$A$155,$A14,Web!$G$2:$G$155,"Bỏ qua")</f>
        <v>0</v>
      </c>
      <c r="F14" s="5">
        <f>COUNTIFS(Web!$A$2:$A$155,$A14,Web!$G$2:$G$155,"Chưa test")</f>
        <v>7</v>
      </c>
      <c r="G14" s="6">
        <f t="shared" si="0"/>
        <v>0</v>
      </c>
    </row>
    <row r="15" spans="1:7" x14ac:dyDescent="0.3">
      <c r="A15" s="5" t="s">
        <v>19</v>
      </c>
      <c r="B15" s="5">
        <f>COUNTIF(Web!$A$2:$A$155,A15)</f>
        <v>6</v>
      </c>
      <c r="C15" s="5">
        <f>COUNTIFS(Web!$A$2:$A$155,$A15,Web!$G$2:$G$155,"Đạt")</f>
        <v>0</v>
      </c>
      <c r="D15" s="5">
        <f>COUNTIFS(Web!$A$2:$A$155,$A15,Web!$G$2:$G$155,"Lỗi")</f>
        <v>0</v>
      </c>
      <c r="E15" s="5">
        <f>COUNTIFS(Web!$A$2:$A$155,$A15,Web!$G$2:$G$155,"Bỏ qua")</f>
        <v>0</v>
      </c>
      <c r="F15" s="5">
        <f>COUNTIFS(Web!$A$2:$A$155,$A15,Web!$G$2:$G$155,"Chưa test")</f>
        <v>6</v>
      </c>
      <c r="G15" s="6">
        <f t="shared" si="0"/>
        <v>0</v>
      </c>
    </row>
    <row r="16" spans="1:7" x14ac:dyDescent="0.3">
      <c r="A16" s="5" t="s">
        <v>20</v>
      </c>
      <c r="B16" s="5">
        <f>COUNTIF(Web!$A$2:$A$155,A16)</f>
        <v>11</v>
      </c>
      <c r="C16" s="5">
        <f>COUNTIFS(Web!$A$2:$A$155,$A16,Web!$G$2:$G$155,"Đạt")</f>
        <v>0</v>
      </c>
      <c r="D16" s="5">
        <f>COUNTIFS(Web!$A$2:$A$155,$A16,Web!$G$2:$G$155,"Lỗi")</f>
        <v>0</v>
      </c>
      <c r="E16" s="5">
        <f>COUNTIFS(Web!$A$2:$A$155,$A16,Web!$G$2:$G$155,"Bỏ qua")</f>
        <v>0</v>
      </c>
      <c r="F16" s="5">
        <f>COUNTIFS(Web!$A$2:$A$155,$A16,Web!$G$2:$G$155,"Chưa test")</f>
        <v>11</v>
      </c>
      <c r="G16" s="6">
        <f t="shared" si="0"/>
        <v>0</v>
      </c>
    </row>
    <row r="17" spans="1:7" x14ac:dyDescent="0.3">
      <c r="A17" s="5" t="s">
        <v>21</v>
      </c>
      <c r="B17" s="5">
        <f>COUNTIF(Web!$A$2:$A$155,A17)</f>
        <v>12</v>
      </c>
      <c r="C17" s="5">
        <f>COUNTIFS(Web!$A$2:$A$155,$A17,Web!$G$2:$G$155,"Đạt")</f>
        <v>0</v>
      </c>
      <c r="D17" s="5">
        <f>COUNTIFS(Web!$A$2:$A$155,$A17,Web!$G$2:$G$155,"Lỗi")</f>
        <v>0</v>
      </c>
      <c r="E17" s="5">
        <f>COUNTIFS(Web!$A$2:$A$155,$A17,Web!$G$2:$G$155,"Bỏ qua")</f>
        <v>0</v>
      </c>
      <c r="F17" s="5">
        <f>COUNTIFS(Web!$A$2:$A$155,$A17,Web!$G$2:$G$155,"Chưa test")</f>
        <v>12</v>
      </c>
      <c r="G17" s="6">
        <f t="shared" si="0"/>
        <v>0</v>
      </c>
    </row>
    <row r="18" spans="1:7" x14ac:dyDescent="0.3">
      <c r="A18" s="5" t="s">
        <v>22</v>
      </c>
      <c r="B18" s="5">
        <f>COUNTIF(Web!$A$2:$A$155,A18)</f>
        <v>2</v>
      </c>
      <c r="C18" s="5">
        <f>COUNTIFS(Web!$A$2:$A$155,$A18,Web!$G$2:$G$155,"Đạt")</f>
        <v>0</v>
      </c>
      <c r="D18" s="5">
        <f>COUNTIFS(Web!$A$2:$A$155,$A18,Web!$G$2:$G$155,"Lỗi")</f>
        <v>0</v>
      </c>
      <c r="E18" s="5">
        <f>COUNTIFS(Web!$A$2:$A$155,$A18,Web!$G$2:$G$155,"Bỏ qua")</f>
        <v>0</v>
      </c>
      <c r="F18" s="5">
        <f>COUNTIFS(Web!$A$2:$A$155,$A18,Web!$G$2:$G$155,"Chưa test")</f>
        <v>2</v>
      </c>
      <c r="G18" s="6">
        <f t="shared" si="0"/>
        <v>0</v>
      </c>
    </row>
    <row r="19" spans="1:7" x14ac:dyDescent="0.3">
      <c r="A19" s="7" t="s">
        <v>23</v>
      </c>
      <c r="B19" s="7">
        <f>SUM(B6:B18)</f>
        <v>154</v>
      </c>
      <c r="C19" s="7">
        <f>SUM(C6:C18)</f>
        <v>0</v>
      </c>
      <c r="D19" s="7">
        <f>SUM(D6:D18)</f>
        <v>2</v>
      </c>
      <c r="E19" s="7">
        <f>SUM(E6:E18)</f>
        <v>0</v>
      </c>
      <c r="F19" s="7">
        <f>SUM(F6:F18)</f>
        <v>141</v>
      </c>
      <c r="G19" s="8">
        <f t="shared" si="0"/>
        <v>1.2987012987012988E-2</v>
      </c>
    </row>
    <row r="21" spans="1:7" ht="15.6" x14ac:dyDescent="0.3">
      <c r="A21" s="3" t="s">
        <v>24</v>
      </c>
    </row>
    <row r="22" spans="1:7" x14ac:dyDescent="0.3">
      <c r="A22" s="4" t="s">
        <v>3</v>
      </c>
      <c r="B22" s="4" t="s">
        <v>4</v>
      </c>
      <c r="C22" s="4" t="s">
        <v>5</v>
      </c>
      <c r="D22" s="4" t="s">
        <v>6</v>
      </c>
      <c r="E22" s="4" t="s">
        <v>7</v>
      </c>
      <c r="F22" s="4" t="s">
        <v>8</v>
      </c>
      <c r="G22" s="4" t="s">
        <v>9</v>
      </c>
    </row>
    <row r="23" spans="1:7" x14ac:dyDescent="0.3">
      <c r="A23" s="5" t="s">
        <v>10</v>
      </c>
      <c r="B23" s="5">
        <f>COUNTIF(App!$B$2:$B$122,A23)</f>
        <v>9</v>
      </c>
      <c r="C23" s="5">
        <f>COUNTIFS(App!$B$2:$B$122,$A23,App!$L$2:$L$122,"Đạt")</f>
        <v>0</v>
      </c>
      <c r="D23" s="5">
        <f>COUNTIFS(App!$B$2:$B$122,$A23,App!$L$2:$L$122,"Lỗi")</f>
        <v>0</v>
      </c>
      <c r="E23" s="5">
        <f>COUNTIFS(App!$B$2:$B$122,$A23,App!$L$2:$L$122,"Bỏ qua")</f>
        <v>0</v>
      </c>
      <c r="F23" s="5">
        <f>COUNTIFS(App!$B$2:$B$122,$A23,App!$L$2:$L$122,"Chưa test")</f>
        <v>9</v>
      </c>
      <c r="G23" s="6">
        <f t="shared" ref="G23:G37" si="1">IF(B23=0,0,(C23+D23+E23)/B23)</f>
        <v>0</v>
      </c>
    </row>
    <row r="24" spans="1:7" x14ac:dyDescent="0.3">
      <c r="A24" s="5" t="s">
        <v>11</v>
      </c>
      <c r="B24" s="5">
        <f>COUNTIF(App!$B$2:$B$122,A24)</f>
        <v>3</v>
      </c>
      <c r="C24" s="5">
        <f>COUNTIFS(App!$B$2:$B$122,$A24,App!$L$2:$L$122,"Đạt")</f>
        <v>0</v>
      </c>
      <c r="D24" s="5">
        <f>COUNTIFS(App!$B$2:$B$122,$A24,App!$L$2:$L$122,"Lỗi")</f>
        <v>0</v>
      </c>
      <c r="E24" s="5">
        <f>COUNTIFS(App!$B$2:$B$122,$A24,App!$L$2:$L$122,"Bỏ qua")</f>
        <v>0</v>
      </c>
      <c r="F24" s="5">
        <f>COUNTIFS(App!$B$2:$B$122,$A24,App!$L$2:$L$122,"Chưa test")</f>
        <v>3</v>
      </c>
      <c r="G24" s="6">
        <f t="shared" si="1"/>
        <v>0</v>
      </c>
    </row>
    <row r="25" spans="1:7" x14ac:dyDescent="0.3">
      <c r="A25" s="5" t="s">
        <v>12</v>
      </c>
      <c r="B25" s="5">
        <f>COUNTIF(App!$B$2:$B$122,A25)</f>
        <v>19</v>
      </c>
      <c r="C25" s="5">
        <f>COUNTIFS(App!$B$2:$B$122,$A25,App!$L$2:$L$122,"Đạt")</f>
        <v>0</v>
      </c>
      <c r="D25" s="5">
        <f>COUNTIFS(App!$B$2:$B$122,$A25,App!$L$2:$L$122,"Lỗi")</f>
        <v>0</v>
      </c>
      <c r="E25" s="5">
        <f>COUNTIFS(App!$B$2:$B$122,$A25,App!$L$2:$L$122,"Bỏ qua")</f>
        <v>0</v>
      </c>
      <c r="F25" s="5">
        <f>COUNTIFS(App!$B$2:$B$122,$A25,App!$L$2:$L$122,"Chưa test")</f>
        <v>19</v>
      </c>
      <c r="G25" s="6">
        <f t="shared" si="1"/>
        <v>0</v>
      </c>
    </row>
    <row r="26" spans="1:7" x14ac:dyDescent="0.3">
      <c r="A26" s="5" t="s">
        <v>25</v>
      </c>
      <c r="B26" s="5">
        <f>COUNTIF(App!$B$2:$B$122,A26)</f>
        <v>2</v>
      </c>
      <c r="C26" s="5">
        <f>COUNTIFS(App!$B$2:$B$122,$A26,App!$L$2:$L$122,"Đạt")</f>
        <v>0</v>
      </c>
      <c r="D26" s="5">
        <f>COUNTIFS(App!$B$2:$B$122,$A26,App!$L$2:$L$122,"Lỗi")</f>
        <v>0</v>
      </c>
      <c r="E26" s="5">
        <f>COUNTIFS(App!$B$2:$B$122,$A26,App!$L$2:$L$122,"Bỏ qua")</f>
        <v>0</v>
      </c>
      <c r="F26" s="5">
        <f>COUNTIFS(App!$B$2:$B$122,$A26,App!$L$2:$L$122,"Chưa test")</f>
        <v>2</v>
      </c>
      <c r="G26" s="6">
        <f t="shared" si="1"/>
        <v>0</v>
      </c>
    </row>
    <row r="27" spans="1:7" x14ac:dyDescent="0.3">
      <c r="A27" s="5" t="s">
        <v>14</v>
      </c>
      <c r="B27" s="5">
        <f>COUNTIF(App!$B$2:$B$122,A27)</f>
        <v>17</v>
      </c>
      <c r="C27" s="5">
        <f>COUNTIFS(App!$B$2:$B$122,$A27,App!$L$2:$L$122,"Đạt")</f>
        <v>0</v>
      </c>
      <c r="D27" s="5">
        <f>COUNTIFS(App!$B$2:$B$122,$A27,App!$L$2:$L$122,"Lỗi")</f>
        <v>0</v>
      </c>
      <c r="E27" s="5">
        <f>COUNTIFS(App!$B$2:$B$122,$A27,App!$L$2:$L$122,"Bỏ qua")</f>
        <v>0</v>
      </c>
      <c r="F27" s="5">
        <f>COUNTIFS(App!$B$2:$B$122,$A27,App!$L$2:$L$122,"Chưa test")</f>
        <v>17</v>
      </c>
      <c r="G27" s="6">
        <f t="shared" si="1"/>
        <v>0</v>
      </c>
    </row>
    <row r="28" spans="1:7" x14ac:dyDescent="0.3">
      <c r="A28" s="5" t="s">
        <v>15</v>
      </c>
      <c r="B28" s="5">
        <f>COUNTIF(App!$B$2:$B$122,A28)</f>
        <v>4</v>
      </c>
      <c r="C28" s="5">
        <f>COUNTIFS(App!$B$2:$B$122,$A28,App!$L$2:$L$122,"Đạt")</f>
        <v>0</v>
      </c>
      <c r="D28" s="5">
        <f>COUNTIFS(App!$B$2:$B$122,$A28,App!$L$2:$L$122,"Lỗi")</f>
        <v>0</v>
      </c>
      <c r="E28" s="5">
        <f>COUNTIFS(App!$B$2:$B$122,$A28,App!$L$2:$L$122,"Bỏ qua")</f>
        <v>0</v>
      </c>
      <c r="F28" s="5">
        <f>COUNTIFS(App!$B$2:$B$122,$A28,App!$L$2:$L$122,"Chưa test")</f>
        <v>4</v>
      </c>
      <c r="G28" s="6">
        <f t="shared" si="1"/>
        <v>0</v>
      </c>
    </row>
    <row r="29" spans="1:7" x14ac:dyDescent="0.3">
      <c r="A29" s="5" t="s">
        <v>16</v>
      </c>
      <c r="B29" s="5">
        <f>COUNTIF(App!$B$2:$B$122,A29)</f>
        <v>8</v>
      </c>
      <c r="C29" s="5">
        <f>COUNTIFS(App!$B$2:$B$122,$A29,App!$L$2:$L$122,"Đạt")</f>
        <v>0</v>
      </c>
      <c r="D29" s="5">
        <f>COUNTIFS(App!$B$2:$B$122,$A29,App!$L$2:$L$122,"Lỗi")</f>
        <v>0</v>
      </c>
      <c r="E29" s="5">
        <f>COUNTIFS(App!$B$2:$B$122,$A29,App!$L$2:$L$122,"Bỏ qua")</f>
        <v>0</v>
      </c>
      <c r="F29" s="5">
        <f>COUNTIFS(App!$B$2:$B$122,$A29,App!$L$2:$L$122,"Chưa test")</f>
        <v>8</v>
      </c>
      <c r="G29" s="6">
        <f t="shared" si="1"/>
        <v>0</v>
      </c>
    </row>
    <row r="30" spans="1:7" x14ac:dyDescent="0.3">
      <c r="A30" s="5" t="s">
        <v>17</v>
      </c>
      <c r="B30" s="5">
        <f>COUNTIF(App!$B$2:$B$122,A30)</f>
        <v>5</v>
      </c>
      <c r="C30" s="5">
        <f>COUNTIFS(App!$B$2:$B$122,$A30,App!$L$2:$L$122,"Đạt")</f>
        <v>0</v>
      </c>
      <c r="D30" s="5">
        <f>COUNTIFS(App!$B$2:$B$122,$A30,App!$L$2:$L$122,"Lỗi")</f>
        <v>0</v>
      </c>
      <c r="E30" s="5">
        <f>COUNTIFS(App!$B$2:$B$122,$A30,App!$L$2:$L$122,"Bỏ qua")</f>
        <v>0</v>
      </c>
      <c r="F30" s="5">
        <f>COUNTIFS(App!$B$2:$B$122,$A30,App!$L$2:$L$122,"Chưa test")</f>
        <v>5</v>
      </c>
      <c r="G30" s="6">
        <f t="shared" si="1"/>
        <v>0</v>
      </c>
    </row>
    <row r="31" spans="1:7" x14ac:dyDescent="0.3">
      <c r="A31" s="5" t="s">
        <v>18</v>
      </c>
      <c r="B31" s="5">
        <f>COUNTIF(App!$B$2:$B$122,A31)</f>
        <v>6</v>
      </c>
      <c r="C31" s="5">
        <f>COUNTIFS(App!$B$2:$B$122,$A31,App!$L$2:$L$122,"Đạt")</f>
        <v>0</v>
      </c>
      <c r="D31" s="5">
        <f>COUNTIFS(App!$B$2:$B$122,$A31,App!$L$2:$L$122,"Lỗi")</f>
        <v>0</v>
      </c>
      <c r="E31" s="5">
        <f>COUNTIFS(App!$B$2:$B$122,$A31,App!$L$2:$L$122,"Bỏ qua")</f>
        <v>0</v>
      </c>
      <c r="F31" s="5">
        <f>COUNTIFS(App!$B$2:$B$122,$A31,App!$L$2:$L$122,"Chưa test")</f>
        <v>6</v>
      </c>
      <c r="G31" s="6">
        <f t="shared" si="1"/>
        <v>0</v>
      </c>
    </row>
    <row r="32" spans="1:7" x14ac:dyDescent="0.3">
      <c r="A32" s="5" t="s">
        <v>19</v>
      </c>
      <c r="B32" s="5">
        <f>COUNTIF(App!$B$2:$B$122,A32)</f>
        <v>4</v>
      </c>
      <c r="C32" s="5">
        <f>COUNTIFS(App!$B$2:$B$122,$A32,App!$L$2:$L$122,"Đạt")</f>
        <v>0</v>
      </c>
      <c r="D32" s="5">
        <f>COUNTIFS(App!$B$2:$B$122,$A32,App!$L$2:$L$122,"Lỗi")</f>
        <v>0</v>
      </c>
      <c r="E32" s="5">
        <f>COUNTIFS(App!$B$2:$B$122,$A32,App!$L$2:$L$122,"Bỏ qua")</f>
        <v>0</v>
      </c>
      <c r="F32" s="5">
        <f>COUNTIFS(App!$B$2:$B$122,$A32,App!$L$2:$L$122,"Chưa test")</f>
        <v>4</v>
      </c>
      <c r="G32" s="6">
        <f t="shared" si="1"/>
        <v>0</v>
      </c>
    </row>
    <row r="33" spans="1:7" x14ac:dyDescent="0.3">
      <c r="A33" s="5" t="s">
        <v>20</v>
      </c>
      <c r="B33" s="5">
        <f>COUNTIF(App!$B$2:$B$122,A33)</f>
        <v>17</v>
      </c>
      <c r="C33" s="5">
        <f>COUNTIFS(App!$B$2:$B$122,$A33,App!$L$2:$L$122,"Đạt")</f>
        <v>0</v>
      </c>
      <c r="D33" s="5">
        <f>COUNTIFS(App!$B$2:$B$122,$A33,App!$L$2:$L$122,"Lỗi")</f>
        <v>0</v>
      </c>
      <c r="E33" s="5">
        <f>COUNTIFS(App!$B$2:$B$122,$A33,App!$L$2:$L$122,"Bỏ qua")</f>
        <v>0</v>
      </c>
      <c r="F33" s="5">
        <f>COUNTIFS(App!$B$2:$B$122,$A33,App!$L$2:$L$122,"Chưa test")</f>
        <v>17</v>
      </c>
      <c r="G33" s="6">
        <f t="shared" si="1"/>
        <v>0</v>
      </c>
    </row>
    <row r="34" spans="1:7" x14ac:dyDescent="0.3">
      <c r="A34" s="5" t="s">
        <v>26</v>
      </c>
      <c r="B34" s="5">
        <f>COUNTIF(App!$B$2:$B$122,A34)</f>
        <v>23</v>
      </c>
      <c r="C34" s="5">
        <f>COUNTIFS(App!$B$2:$B$122,$A34,App!$L$2:$L$122,"Đạt")</f>
        <v>0</v>
      </c>
      <c r="D34" s="5">
        <f>COUNTIFS(App!$B$2:$B$122,$A34,App!$L$2:$L$122,"Lỗi")</f>
        <v>0</v>
      </c>
      <c r="E34" s="5">
        <f>COUNTIFS(App!$B$2:$B$122,$A34,App!$L$2:$L$122,"Bỏ qua")</f>
        <v>0</v>
      </c>
      <c r="F34" s="5">
        <f>COUNTIFS(App!$B$2:$B$122,$A34,App!$L$2:$L$122,"Chưa test")</f>
        <v>23</v>
      </c>
      <c r="G34" s="6">
        <f t="shared" si="1"/>
        <v>0</v>
      </c>
    </row>
    <row r="35" spans="1:7" x14ac:dyDescent="0.3">
      <c r="A35" s="5" t="s">
        <v>27</v>
      </c>
      <c r="B35" s="5">
        <f>COUNTIF(App!$B$2:$B$122,A35)</f>
        <v>3</v>
      </c>
      <c r="C35" s="5">
        <f>COUNTIFS(App!$B$2:$B$122,$A35,App!$L$2:$L$122,"Đạt")</f>
        <v>0</v>
      </c>
      <c r="D35" s="5">
        <f>COUNTIFS(App!$B$2:$B$122,$A35,App!$L$2:$L$122,"Lỗi")</f>
        <v>0</v>
      </c>
      <c r="E35" s="5">
        <f>COUNTIFS(App!$B$2:$B$122,$A35,App!$L$2:$L$122,"Bỏ qua")</f>
        <v>0</v>
      </c>
      <c r="F35" s="5">
        <f>COUNTIFS(App!$B$2:$B$122,$A35,App!$L$2:$L$122,"Chưa test")</f>
        <v>3</v>
      </c>
      <c r="G35" s="6">
        <f t="shared" si="1"/>
        <v>0</v>
      </c>
    </row>
    <row r="36" spans="1:7" x14ac:dyDescent="0.3">
      <c r="A36" s="5" t="s">
        <v>22</v>
      </c>
      <c r="B36" s="5">
        <f>COUNTIF(App!$B$2:$B$122,A36)</f>
        <v>1</v>
      </c>
      <c r="C36" s="5">
        <f>COUNTIFS(App!$B$2:$B$122,$A36,App!$L$2:$L$122,"Đạt")</f>
        <v>0</v>
      </c>
      <c r="D36" s="5">
        <f>COUNTIFS(App!$B$2:$B$122,$A36,App!$L$2:$L$122,"Lỗi")</f>
        <v>0</v>
      </c>
      <c r="E36" s="5">
        <f>COUNTIFS(App!$B$2:$B$122,$A36,App!$L$2:$L$122,"Bỏ qua")</f>
        <v>0</v>
      </c>
      <c r="F36" s="5">
        <f>COUNTIFS(App!$B$2:$B$122,$A36,App!$L$2:$L$122,"Chưa test")</f>
        <v>1</v>
      </c>
      <c r="G36" s="6">
        <f t="shared" si="1"/>
        <v>0</v>
      </c>
    </row>
    <row r="37" spans="1:7" x14ac:dyDescent="0.3">
      <c r="A37" s="7" t="s">
        <v>28</v>
      </c>
      <c r="B37" s="7">
        <f>SUM(B23:B36)</f>
        <v>121</v>
      </c>
      <c r="C37" s="7">
        <f>SUM(C23:C36)</f>
        <v>0</v>
      </c>
      <c r="D37" s="7">
        <f>SUM(D23:D36)</f>
        <v>0</v>
      </c>
      <c r="E37" s="7">
        <f>SUM(E23:E36)</f>
        <v>0</v>
      </c>
      <c r="F37" s="7">
        <f>SUM(F23:F36)</f>
        <v>121</v>
      </c>
      <c r="G37" s="8">
        <f t="shared" si="1"/>
        <v>0</v>
      </c>
    </row>
    <row r="39" spans="1:7" x14ac:dyDescent="0.3">
      <c r="A39" s="7" t="s">
        <v>29</v>
      </c>
      <c r="B39" s="7">
        <f>B19+B37</f>
        <v>275</v>
      </c>
      <c r="C39" s="7">
        <f>C19+C37</f>
        <v>0</v>
      </c>
      <c r="D39" s="7">
        <f>D19+D37</f>
        <v>2</v>
      </c>
      <c r="E39" s="7">
        <f>E19+E37</f>
        <v>0</v>
      </c>
      <c r="F39" s="7">
        <f>F19+F37</f>
        <v>262</v>
      </c>
      <c r="G39" s="8">
        <f>IF(B39=0,0,(C39+D39+E39)/B39)</f>
        <v>7.2727272727272727E-3</v>
      </c>
    </row>
    <row r="41" spans="1:7" x14ac:dyDescent="0.3">
      <c r="A41" s="9" t="s">
        <v>30</v>
      </c>
    </row>
    <row r="42" spans="1:7" x14ac:dyDescent="0.3">
      <c r="A42" s="10" t="s">
        <v>31</v>
      </c>
    </row>
    <row r="43" spans="1:7" x14ac:dyDescent="0.3">
      <c r="A43" s="10" t="s">
        <v>32</v>
      </c>
    </row>
    <row r="44" spans="1:7" x14ac:dyDescent="0.3">
      <c r="A44" s="10" t="s">
        <v>33</v>
      </c>
    </row>
    <row r="45" spans="1:7" x14ac:dyDescent="0.3">
      <c r="A45" s="10" t="s">
        <v>34</v>
      </c>
    </row>
    <row r="46" spans="1:7" x14ac:dyDescent="0.3">
      <c r="A46" s="10" t="s">
        <v>35</v>
      </c>
    </row>
    <row r="47" spans="1:7" x14ac:dyDescent="0.3">
      <c r="A47" s="10" t="s">
        <v>36</v>
      </c>
    </row>
    <row r="48" spans="1:7" x14ac:dyDescent="0.3">
      <c r="A48" s="10"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3"/>
  <sheetViews>
    <sheetView workbookViewId="0">
      <pane ySplit="4" topLeftCell="A5" activePane="bottomLeft" state="frozen"/>
      <selection pane="bottomLeft"/>
    </sheetView>
  </sheetViews>
  <sheetFormatPr defaultRowHeight="14.4" x14ac:dyDescent="0.3"/>
  <cols>
    <col min="1" max="1" width="5" customWidth="1"/>
    <col min="2" max="2" width="6" customWidth="1"/>
    <col min="3" max="3" width="10" customWidth="1"/>
    <col min="4" max="4" width="26" customWidth="1"/>
    <col min="5" max="5" width="46" customWidth="1"/>
    <col min="6" max="6" width="11" customWidth="1"/>
    <col min="7" max="7" width="12" customWidth="1"/>
    <col min="8" max="8" width="11" customWidth="1"/>
  </cols>
  <sheetData>
    <row r="1" spans="1:8" ht="17.399999999999999" x14ac:dyDescent="0.3">
      <c r="A1" s="1" t="s">
        <v>38</v>
      </c>
    </row>
    <row r="2" spans="1:8" x14ac:dyDescent="0.3">
      <c r="A2" s="2" t="s">
        <v>39</v>
      </c>
    </row>
    <row r="4" spans="1:8" x14ac:dyDescent="0.3">
      <c r="A4" s="11" t="s">
        <v>40</v>
      </c>
      <c r="B4" s="11" t="s">
        <v>41</v>
      </c>
      <c r="C4" s="11" t="s">
        <v>42</v>
      </c>
      <c r="D4" s="11" t="s">
        <v>43</v>
      </c>
      <c r="E4" s="11" t="s">
        <v>44</v>
      </c>
      <c r="F4" s="11" t="s">
        <v>45</v>
      </c>
      <c r="G4" s="11" t="s">
        <v>46</v>
      </c>
      <c r="H4" s="11" t="s">
        <v>47</v>
      </c>
    </row>
    <row r="5" spans="1:8" x14ac:dyDescent="0.3">
      <c r="A5" s="12" t="s">
        <v>10</v>
      </c>
      <c r="B5" s="12"/>
      <c r="C5" s="12"/>
      <c r="D5" s="12"/>
      <c r="E5" s="12"/>
      <c r="F5" s="12"/>
      <c r="G5" s="12" t="str">
        <f>COUNTIF(G6:G28,"Đạt")&amp;"/23 đạt"</f>
        <v>0/23 đạt</v>
      </c>
      <c r="H5" s="12"/>
    </row>
    <row r="6" spans="1:8" x14ac:dyDescent="0.3">
      <c r="A6" s="13" t="str">
        <f t="shared" ref="A6:A28" si="0">IF(G6="Đạt","☑",IF(G6="Lỗi","✗",IF(G6="Bỏ qua","–","☐")))</f>
        <v>☐</v>
      </c>
      <c r="B6" s="13">
        <v>1</v>
      </c>
      <c r="C6" s="13" t="s">
        <v>2</v>
      </c>
      <c r="D6" s="14" t="s">
        <v>48</v>
      </c>
      <c r="E6" s="14" t="s">
        <v>49</v>
      </c>
      <c r="F6" s="13" t="s">
        <v>50</v>
      </c>
      <c r="G6" s="13" t="str">
        <f>IFERROR(INDEX(Web!$G:$G,MATCH(F6,Web!#REF!,0)),"")</f>
        <v/>
      </c>
      <c r="H6" s="13" t="s">
        <v>51</v>
      </c>
    </row>
    <row r="7" spans="1:8" x14ac:dyDescent="0.3">
      <c r="A7" s="13" t="str">
        <f t="shared" si="0"/>
        <v>☐</v>
      </c>
      <c r="B7" s="13">
        <v>2</v>
      </c>
      <c r="C7" s="13" t="s">
        <v>2</v>
      </c>
      <c r="D7" s="14" t="s">
        <v>48</v>
      </c>
      <c r="E7" s="14" t="s">
        <v>52</v>
      </c>
      <c r="F7" s="13" t="s">
        <v>53</v>
      </c>
      <c r="G7" s="13" t="str">
        <f>IFERROR(INDEX(Web!$G:$G,MATCH(F7,Web!#REF!,0)),"")</f>
        <v/>
      </c>
      <c r="H7" s="13" t="s">
        <v>54</v>
      </c>
    </row>
    <row r="8" spans="1:8" ht="26.4" x14ac:dyDescent="0.3">
      <c r="A8" s="13" t="str">
        <f t="shared" si="0"/>
        <v>☐</v>
      </c>
      <c r="B8" s="13">
        <v>3</v>
      </c>
      <c r="C8" s="13" t="s">
        <v>2</v>
      </c>
      <c r="D8" s="14" t="s">
        <v>48</v>
      </c>
      <c r="E8" s="14" t="s">
        <v>55</v>
      </c>
      <c r="F8" s="13" t="s">
        <v>56</v>
      </c>
      <c r="G8" s="13" t="str">
        <f>IFERROR(INDEX(Web!$G:$G,MATCH(F8,Web!#REF!,0)),"")</f>
        <v/>
      </c>
      <c r="H8" s="13" t="s">
        <v>51</v>
      </c>
    </row>
    <row r="9" spans="1:8" x14ac:dyDescent="0.3">
      <c r="A9" s="13" t="str">
        <f t="shared" si="0"/>
        <v>☐</v>
      </c>
      <c r="B9" s="13">
        <v>4</v>
      </c>
      <c r="C9" s="13" t="s">
        <v>2</v>
      </c>
      <c r="D9" s="14" t="s">
        <v>48</v>
      </c>
      <c r="E9" s="14" t="s">
        <v>57</v>
      </c>
      <c r="F9" s="13" t="s">
        <v>58</v>
      </c>
      <c r="G9" s="13" t="str">
        <f>IFERROR(INDEX(Web!$G:$G,MATCH(F9,Web!#REF!,0)),"")</f>
        <v/>
      </c>
      <c r="H9" s="13" t="s">
        <v>54</v>
      </c>
    </row>
    <row r="10" spans="1:8" x14ac:dyDescent="0.3">
      <c r="A10" s="13" t="str">
        <f t="shared" si="0"/>
        <v>☐</v>
      </c>
      <c r="B10" s="13">
        <v>5</v>
      </c>
      <c r="C10" s="13" t="s">
        <v>2</v>
      </c>
      <c r="D10" s="14" t="s">
        <v>59</v>
      </c>
      <c r="E10" s="14" t="s">
        <v>60</v>
      </c>
      <c r="F10" s="13" t="s">
        <v>61</v>
      </c>
      <c r="G10" s="13" t="str">
        <f>IFERROR(INDEX(Web!$G:$G,MATCH(F10,Web!#REF!,0)),"")</f>
        <v/>
      </c>
      <c r="H10" s="13" t="s">
        <v>51</v>
      </c>
    </row>
    <row r="11" spans="1:8" x14ac:dyDescent="0.3">
      <c r="A11" s="13" t="str">
        <f t="shared" si="0"/>
        <v>☐</v>
      </c>
      <c r="B11" s="13">
        <v>6</v>
      </c>
      <c r="C11" s="13" t="s">
        <v>2</v>
      </c>
      <c r="D11" s="14" t="s">
        <v>59</v>
      </c>
      <c r="E11" s="14" t="s">
        <v>62</v>
      </c>
      <c r="F11" s="13" t="s">
        <v>63</v>
      </c>
      <c r="G11" s="13" t="str">
        <f>IFERROR(INDEX(Web!$G:$G,MATCH(F11,Web!#REF!,0)),"")</f>
        <v/>
      </c>
      <c r="H11" s="13" t="s">
        <v>51</v>
      </c>
    </row>
    <row r="12" spans="1:8" x14ac:dyDescent="0.3">
      <c r="A12" s="13" t="str">
        <f t="shared" si="0"/>
        <v>☐</v>
      </c>
      <c r="B12" s="13">
        <v>7</v>
      </c>
      <c r="C12" s="13" t="s">
        <v>2</v>
      </c>
      <c r="D12" s="14" t="s">
        <v>64</v>
      </c>
      <c r="E12" s="14" t="s">
        <v>65</v>
      </c>
      <c r="F12" s="13" t="s">
        <v>66</v>
      </c>
      <c r="G12" s="13" t="str">
        <f>IFERROR(INDEX(Web!$G:$G,MATCH(F12,Web!#REF!,0)),"")</f>
        <v/>
      </c>
      <c r="H12" s="13" t="s">
        <v>54</v>
      </c>
    </row>
    <row r="13" spans="1:8" x14ac:dyDescent="0.3">
      <c r="A13" s="13" t="str">
        <f t="shared" si="0"/>
        <v>☐</v>
      </c>
      <c r="B13" s="13">
        <v>8</v>
      </c>
      <c r="C13" s="13" t="s">
        <v>2</v>
      </c>
      <c r="D13" s="14" t="s">
        <v>64</v>
      </c>
      <c r="E13" s="14" t="s">
        <v>67</v>
      </c>
      <c r="F13" s="13" t="s">
        <v>68</v>
      </c>
      <c r="G13" s="13" t="str">
        <f>IFERROR(INDEX(Web!$G:$G,MATCH(F13,Web!#REF!,0)),"")</f>
        <v/>
      </c>
      <c r="H13" s="13" t="s">
        <v>51</v>
      </c>
    </row>
    <row r="14" spans="1:8" ht="26.4" x14ac:dyDescent="0.3">
      <c r="A14" s="13" t="str">
        <f t="shared" si="0"/>
        <v>☐</v>
      </c>
      <c r="B14" s="13">
        <v>9</v>
      </c>
      <c r="C14" s="13" t="s">
        <v>2</v>
      </c>
      <c r="D14" s="14" t="s">
        <v>64</v>
      </c>
      <c r="E14" s="14" t="s">
        <v>69</v>
      </c>
      <c r="F14" s="13" t="s">
        <v>70</v>
      </c>
      <c r="G14" s="13" t="str">
        <f>IFERROR(INDEX(Web!$G:$G,MATCH(F14,Web!#REF!,0)),"")</f>
        <v/>
      </c>
      <c r="H14" s="13" t="s">
        <v>51</v>
      </c>
    </row>
    <row r="15" spans="1:8" x14ac:dyDescent="0.3">
      <c r="A15" s="13" t="str">
        <f t="shared" si="0"/>
        <v>☐</v>
      </c>
      <c r="B15" s="13">
        <v>10</v>
      </c>
      <c r="C15" s="13" t="s">
        <v>2</v>
      </c>
      <c r="D15" s="14" t="s">
        <v>64</v>
      </c>
      <c r="E15" s="14" t="s">
        <v>71</v>
      </c>
      <c r="F15" s="13" t="s">
        <v>72</v>
      </c>
      <c r="G15" s="13" t="str">
        <f>IFERROR(INDEX(Web!$G:$G,MATCH(F15,Web!#REF!,0)),"")</f>
        <v/>
      </c>
      <c r="H15" s="13" t="s">
        <v>54</v>
      </c>
    </row>
    <row r="16" spans="1:8" ht="26.4" x14ac:dyDescent="0.3">
      <c r="A16" s="13" t="str">
        <f t="shared" si="0"/>
        <v>☐</v>
      </c>
      <c r="B16" s="13">
        <v>11</v>
      </c>
      <c r="C16" s="13" t="s">
        <v>2</v>
      </c>
      <c r="D16" s="14" t="s">
        <v>64</v>
      </c>
      <c r="E16" s="14" t="s">
        <v>73</v>
      </c>
      <c r="F16" s="13" t="s">
        <v>74</v>
      </c>
      <c r="G16" s="13" t="str">
        <f>IFERROR(INDEX(Web!$G:$G,MATCH(F16,Web!#REF!,0)),"")</f>
        <v/>
      </c>
      <c r="H16" s="13" t="s">
        <v>54</v>
      </c>
    </row>
    <row r="17" spans="1:8" x14ac:dyDescent="0.3">
      <c r="A17" s="13" t="str">
        <f t="shared" si="0"/>
        <v>☐</v>
      </c>
      <c r="B17" s="13">
        <v>12</v>
      </c>
      <c r="C17" s="13" t="s">
        <v>2</v>
      </c>
      <c r="D17" s="14" t="s">
        <v>75</v>
      </c>
      <c r="E17" s="14" t="s">
        <v>76</v>
      </c>
      <c r="F17" s="13" t="s">
        <v>77</v>
      </c>
      <c r="G17" s="13" t="str">
        <f>IFERROR(INDEX(Web!$G:$G,MATCH(F17,Web!#REF!,0)),"")</f>
        <v/>
      </c>
      <c r="H17" s="13" t="s">
        <v>54</v>
      </c>
    </row>
    <row r="18" spans="1:8" x14ac:dyDescent="0.3">
      <c r="A18" s="13" t="str">
        <f t="shared" si="0"/>
        <v>☐</v>
      </c>
      <c r="B18" s="13">
        <v>13</v>
      </c>
      <c r="C18" s="13" t="s">
        <v>2</v>
      </c>
      <c r="D18" s="14" t="s">
        <v>75</v>
      </c>
      <c r="E18" s="14" t="s">
        <v>78</v>
      </c>
      <c r="F18" s="13" t="s">
        <v>79</v>
      </c>
      <c r="G18" s="13" t="str">
        <f>IFERROR(INDEX(Web!$G:$G,MATCH(F18,Web!#REF!,0)),"")</f>
        <v/>
      </c>
      <c r="H18" s="13" t="s">
        <v>54</v>
      </c>
    </row>
    <row r="19" spans="1:8" x14ac:dyDescent="0.3">
      <c r="A19" s="13" t="str">
        <f t="shared" si="0"/>
        <v>☐</v>
      </c>
      <c r="B19" s="13">
        <v>14</v>
      </c>
      <c r="C19" s="13" t="s">
        <v>2</v>
      </c>
      <c r="D19" s="14" t="s">
        <v>80</v>
      </c>
      <c r="E19" s="14" t="s">
        <v>81</v>
      </c>
      <c r="F19" s="13" t="s">
        <v>82</v>
      </c>
      <c r="G19" s="13" t="str">
        <f>IFERROR(INDEX(Web!$G:$G,MATCH(F19,Web!#REF!,0)),"")</f>
        <v/>
      </c>
      <c r="H19" s="13" t="s">
        <v>54</v>
      </c>
    </row>
    <row r="20" spans="1:8" x14ac:dyDescent="0.3">
      <c r="A20" s="13" t="str">
        <f t="shared" si="0"/>
        <v>☐</v>
      </c>
      <c r="B20" s="13">
        <v>15</v>
      </c>
      <c r="C20" s="13" t="s">
        <v>24</v>
      </c>
      <c r="D20" s="14" t="s">
        <v>83</v>
      </c>
      <c r="E20" s="14" t="s">
        <v>84</v>
      </c>
      <c r="F20" s="13" t="s">
        <v>85</v>
      </c>
      <c r="G20" s="13" t="str">
        <f>IFERROR(INDEX(App!$L:$L,MATCH(F20,App!$A:$A,0)),"")</f>
        <v>Chưa test</v>
      </c>
      <c r="H20" s="13" t="s">
        <v>51</v>
      </c>
    </row>
    <row r="21" spans="1:8" x14ac:dyDescent="0.3">
      <c r="A21" s="13" t="str">
        <f t="shared" si="0"/>
        <v>☐</v>
      </c>
      <c r="B21" s="13">
        <v>16</v>
      </c>
      <c r="C21" s="13" t="s">
        <v>24</v>
      </c>
      <c r="D21" s="14" t="s">
        <v>83</v>
      </c>
      <c r="E21" s="14" t="s">
        <v>86</v>
      </c>
      <c r="F21" s="13" t="s">
        <v>87</v>
      </c>
      <c r="G21" s="13" t="str">
        <f>IFERROR(INDEX(App!$L:$L,MATCH(F21,App!$A:$A,0)),"")</f>
        <v>Chưa test</v>
      </c>
      <c r="H21" s="13" t="s">
        <v>54</v>
      </c>
    </row>
    <row r="22" spans="1:8" x14ac:dyDescent="0.3">
      <c r="A22" s="13" t="str">
        <f t="shared" si="0"/>
        <v>☐</v>
      </c>
      <c r="B22" s="13">
        <v>17</v>
      </c>
      <c r="C22" s="13" t="s">
        <v>24</v>
      </c>
      <c r="D22" s="14" t="s">
        <v>83</v>
      </c>
      <c r="E22" s="14" t="s">
        <v>88</v>
      </c>
      <c r="F22" s="13" t="s">
        <v>89</v>
      </c>
      <c r="G22" s="13" t="str">
        <f>IFERROR(INDEX(App!$L:$L,MATCH(F22,App!$A:$A,0)),"")</f>
        <v>Chưa test</v>
      </c>
      <c r="H22" s="13" t="s">
        <v>51</v>
      </c>
    </row>
    <row r="23" spans="1:8" x14ac:dyDescent="0.3">
      <c r="A23" s="13" t="str">
        <f t="shared" si="0"/>
        <v>☐</v>
      </c>
      <c r="B23" s="13">
        <v>18</v>
      </c>
      <c r="C23" s="13" t="s">
        <v>24</v>
      </c>
      <c r="D23" s="14" t="s">
        <v>64</v>
      </c>
      <c r="E23" s="14" t="s">
        <v>90</v>
      </c>
      <c r="F23" s="13" t="s">
        <v>91</v>
      </c>
      <c r="G23" s="13" t="str">
        <f>IFERROR(INDEX(App!$L:$L,MATCH(F23,App!$A:$A,0)),"")</f>
        <v>Chưa test</v>
      </c>
      <c r="H23" s="13" t="s">
        <v>51</v>
      </c>
    </row>
    <row r="24" spans="1:8" x14ac:dyDescent="0.3">
      <c r="A24" s="13" t="str">
        <f t="shared" si="0"/>
        <v>☐</v>
      </c>
      <c r="B24" s="13">
        <v>19</v>
      </c>
      <c r="C24" s="13" t="s">
        <v>24</v>
      </c>
      <c r="D24" s="14" t="s">
        <v>64</v>
      </c>
      <c r="E24" s="14" t="s">
        <v>92</v>
      </c>
      <c r="F24" s="13" t="s">
        <v>93</v>
      </c>
      <c r="G24" s="13" t="str">
        <f>IFERROR(INDEX(App!$L:$L,MATCH(F24,App!$A:$A,0)),"")</f>
        <v>Chưa test</v>
      </c>
      <c r="H24" s="13" t="s">
        <v>51</v>
      </c>
    </row>
    <row r="25" spans="1:8" x14ac:dyDescent="0.3">
      <c r="A25" s="13" t="str">
        <f t="shared" si="0"/>
        <v>☐</v>
      </c>
      <c r="B25" s="13">
        <v>20</v>
      </c>
      <c r="C25" s="13" t="s">
        <v>24</v>
      </c>
      <c r="D25" s="14" t="s">
        <v>64</v>
      </c>
      <c r="E25" s="14" t="s">
        <v>94</v>
      </c>
      <c r="F25" s="13" t="s">
        <v>95</v>
      </c>
      <c r="G25" s="13" t="str">
        <f>IFERROR(INDEX(App!$L:$L,MATCH(F25,App!$A:$A,0)),"")</f>
        <v>Chưa test</v>
      </c>
      <c r="H25" s="13" t="s">
        <v>54</v>
      </c>
    </row>
    <row r="26" spans="1:8" x14ac:dyDescent="0.3">
      <c r="A26" s="13" t="str">
        <f t="shared" si="0"/>
        <v>☐</v>
      </c>
      <c r="B26" s="13">
        <v>21</v>
      </c>
      <c r="C26" s="13" t="s">
        <v>24</v>
      </c>
      <c r="D26" s="14" t="s">
        <v>96</v>
      </c>
      <c r="E26" s="14" t="s">
        <v>97</v>
      </c>
      <c r="F26" s="13" t="s">
        <v>98</v>
      </c>
      <c r="G26" s="13" t="str">
        <f>IFERROR(INDEX(App!$L:$L,MATCH(F26,App!$A:$A,0)),"")</f>
        <v>Chưa test</v>
      </c>
      <c r="H26" s="13" t="s">
        <v>99</v>
      </c>
    </row>
    <row r="27" spans="1:8" x14ac:dyDescent="0.3">
      <c r="A27" s="13" t="str">
        <f t="shared" si="0"/>
        <v>☐</v>
      </c>
      <c r="B27" s="13">
        <v>22</v>
      </c>
      <c r="C27" s="13" t="s">
        <v>24</v>
      </c>
      <c r="D27" s="14" t="s">
        <v>100</v>
      </c>
      <c r="E27" s="14" t="s">
        <v>101</v>
      </c>
      <c r="F27" s="13" t="s">
        <v>102</v>
      </c>
      <c r="G27" s="13" t="str">
        <f>IFERROR(INDEX(App!$L:$L,MATCH(F27,App!$A:$A,0)),"")</f>
        <v>Chưa test</v>
      </c>
      <c r="H27" s="13" t="s">
        <v>99</v>
      </c>
    </row>
    <row r="28" spans="1:8" x14ac:dyDescent="0.3">
      <c r="A28" s="13" t="str">
        <f t="shared" si="0"/>
        <v>☐</v>
      </c>
      <c r="B28" s="13">
        <v>23</v>
      </c>
      <c r="C28" s="13" t="s">
        <v>24</v>
      </c>
      <c r="D28" s="14" t="s">
        <v>103</v>
      </c>
      <c r="E28" s="14" t="s">
        <v>104</v>
      </c>
      <c r="F28" s="13" t="s">
        <v>105</v>
      </c>
      <c r="G28" s="13" t="str">
        <f>IFERROR(INDEX(App!$L:$L,MATCH(F28,App!$A:$A,0)),"")</f>
        <v>Chưa test</v>
      </c>
      <c r="H28" s="13" t="s">
        <v>51</v>
      </c>
    </row>
    <row r="29" spans="1:8" x14ac:dyDescent="0.3">
      <c r="A29" s="12" t="s">
        <v>11</v>
      </c>
      <c r="B29" s="12"/>
      <c r="C29" s="12"/>
      <c r="D29" s="12"/>
      <c r="E29" s="12"/>
      <c r="F29" s="12"/>
      <c r="G29" s="12" t="str">
        <f>COUNTIF(G30:G44,"Đạt")&amp;"/15 đạt"</f>
        <v>0/15 đạt</v>
      </c>
      <c r="H29" s="12"/>
    </row>
    <row r="30" spans="1:8" x14ac:dyDescent="0.3">
      <c r="A30" s="13" t="str">
        <f t="shared" ref="A30:A44" si="1">IF(G30="Đạt","☑",IF(G30="Lỗi","✗",IF(G30="Bỏ qua","–","☐")))</f>
        <v>☐</v>
      </c>
      <c r="B30" s="13">
        <v>24</v>
      </c>
      <c r="C30" s="13" t="s">
        <v>2</v>
      </c>
      <c r="D30" s="14" t="s">
        <v>106</v>
      </c>
      <c r="E30" s="14" t="s">
        <v>107</v>
      </c>
      <c r="F30" s="13" t="s">
        <v>108</v>
      </c>
      <c r="G30" s="13" t="str">
        <f>IFERROR(INDEX(Web!$G:$G,MATCH(F30,Web!#REF!,0)),"")</f>
        <v/>
      </c>
      <c r="H30" s="13" t="s">
        <v>51</v>
      </c>
    </row>
    <row r="31" spans="1:8" x14ac:dyDescent="0.3">
      <c r="A31" s="13" t="str">
        <f t="shared" si="1"/>
        <v>☐</v>
      </c>
      <c r="B31" s="13">
        <v>25</v>
      </c>
      <c r="C31" s="13" t="s">
        <v>2</v>
      </c>
      <c r="D31" s="14" t="s">
        <v>109</v>
      </c>
      <c r="E31" s="14" t="s">
        <v>110</v>
      </c>
      <c r="F31" s="13" t="s">
        <v>111</v>
      </c>
      <c r="G31" s="13" t="str">
        <f>IFERROR(INDEX(Web!$G:$G,MATCH(F31,Web!#REF!,0)),"")</f>
        <v/>
      </c>
      <c r="H31" s="13" t="s">
        <v>54</v>
      </c>
    </row>
    <row r="32" spans="1:8" x14ac:dyDescent="0.3">
      <c r="A32" s="13" t="str">
        <f t="shared" si="1"/>
        <v>☐</v>
      </c>
      <c r="B32" s="13">
        <v>26</v>
      </c>
      <c r="C32" s="13" t="s">
        <v>2</v>
      </c>
      <c r="D32" s="14" t="s">
        <v>112</v>
      </c>
      <c r="E32" s="14" t="s">
        <v>113</v>
      </c>
      <c r="F32" s="13" t="s">
        <v>114</v>
      </c>
      <c r="G32" s="13" t="str">
        <f>IFERROR(INDEX(Web!$G:$G,MATCH(F32,Web!#REF!,0)),"")</f>
        <v/>
      </c>
      <c r="H32" s="13" t="s">
        <v>51</v>
      </c>
    </row>
    <row r="33" spans="1:8" x14ac:dyDescent="0.3">
      <c r="A33" s="13" t="str">
        <f t="shared" si="1"/>
        <v>☐</v>
      </c>
      <c r="B33" s="13">
        <v>27</v>
      </c>
      <c r="C33" s="13" t="s">
        <v>2</v>
      </c>
      <c r="D33" s="14" t="s">
        <v>112</v>
      </c>
      <c r="E33" s="14" t="s">
        <v>115</v>
      </c>
      <c r="F33" s="13" t="s">
        <v>116</v>
      </c>
      <c r="G33" s="13" t="str">
        <f>IFERROR(INDEX(Web!$G:$G,MATCH(F33,Web!#REF!,0)),"")</f>
        <v/>
      </c>
      <c r="H33" s="13" t="s">
        <v>54</v>
      </c>
    </row>
    <row r="34" spans="1:8" x14ac:dyDescent="0.3">
      <c r="A34" s="13" t="str">
        <f t="shared" si="1"/>
        <v>☐</v>
      </c>
      <c r="B34" s="13">
        <v>28</v>
      </c>
      <c r="C34" s="13" t="s">
        <v>2</v>
      </c>
      <c r="D34" s="14" t="s">
        <v>117</v>
      </c>
      <c r="E34" s="14" t="s">
        <v>118</v>
      </c>
      <c r="F34" s="13" t="s">
        <v>119</v>
      </c>
      <c r="G34" s="13" t="str">
        <f>IFERROR(INDEX(Web!$G:$G,MATCH(F34,Web!#REF!,0)),"")</f>
        <v/>
      </c>
      <c r="H34" s="13" t="s">
        <v>51</v>
      </c>
    </row>
    <row r="35" spans="1:8" x14ac:dyDescent="0.3">
      <c r="A35" s="13" t="str">
        <f t="shared" si="1"/>
        <v>☐</v>
      </c>
      <c r="B35" s="13">
        <v>29</v>
      </c>
      <c r="C35" s="13" t="s">
        <v>2</v>
      </c>
      <c r="D35" s="14" t="s">
        <v>120</v>
      </c>
      <c r="E35" s="14" t="s">
        <v>121</v>
      </c>
      <c r="F35" s="13" t="s">
        <v>122</v>
      </c>
      <c r="G35" s="13" t="str">
        <f>IFERROR(INDEX(Web!$G:$G,MATCH(F35,Web!#REF!,0)),"")</f>
        <v/>
      </c>
      <c r="H35" s="13" t="s">
        <v>51</v>
      </c>
    </row>
    <row r="36" spans="1:8" x14ac:dyDescent="0.3">
      <c r="A36" s="13" t="str">
        <f t="shared" si="1"/>
        <v>☐</v>
      </c>
      <c r="B36" s="13">
        <v>30</v>
      </c>
      <c r="C36" s="13" t="s">
        <v>2</v>
      </c>
      <c r="D36" s="14" t="s">
        <v>120</v>
      </c>
      <c r="E36" s="14" t="s">
        <v>123</v>
      </c>
      <c r="F36" s="13" t="s">
        <v>124</v>
      </c>
      <c r="G36" s="13" t="str">
        <f>IFERROR(INDEX(Web!$G:$G,MATCH(F36,Web!#REF!,0)),"")</f>
        <v/>
      </c>
      <c r="H36" s="13" t="s">
        <v>54</v>
      </c>
    </row>
    <row r="37" spans="1:8" x14ac:dyDescent="0.3">
      <c r="A37" s="13" t="str">
        <f t="shared" si="1"/>
        <v>☐</v>
      </c>
      <c r="B37" s="13">
        <v>31</v>
      </c>
      <c r="C37" s="13" t="s">
        <v>2</v>
      </c>
      <c r="D37" s="14" t="s">
        <v>125</v>
      </c>
      <c r="E37" s="14" t="s">
        <v>126</v>
      </c>
      <c r="F37" s="13" t="s">
        <v>127</v>
      </c>
      <c r="G37" s="13" t="str">
        <f>IFERROR(INDEX(Web!$G:$G,MATCH(F37,Web!#REF!,0)),"")</f>
        <v/>
      </c>
      <c r="H37" s="13" t="s">
        <v>51</v>
      </c>
    </row>
    <row r="38" spans="1:8" x14ac:dyDescent="0.3">
      <c r="A38" s="13" t="str">
        <f t="shared" si="1"/>
        <v>☐</v>
      </c>
      <c r="B38" s="13">
        <v>32</v>
      </c>
      <c r="C38" s="13" t="s">
        <v>2</v>
      </c>
      <c r="D38" s="14" t="s">
        <v>125</v>
      </c>
      <c r="E38" s="14" t="s">
        <v>128</v>
      </c>
      <c r="F38" s="13" t="s">
        <v>129</v>
      </c>
      <c r="G38" s="13" t="str">
        <f>IFERROR(INDEX(Web!$G:$G,MATCH(F38,Web!#REF!,0)),"")</f>
        <v/>
      </c>
      <c r="H38" s="13" t="s">
        <v>54</v>
      </c>
    </row>
    <row r="39" spans="1:8" ht="26.4" x14ac:dyDescent="0.3">
      <c r="A39" s="13" t="str">
        <f t="shared" si="1"/>
        <v>☐</v>
      </c>
      <c r="B39" s="13">
        <v>33</v>
      </c>
      <c r="C39" s="13" t="s">
        <v>2</v>
      </c>
      <c r="D39" s="14" t="s">
        <v>130</v>
      </c>
      <c r="E39" s="14" t="s">
        <v>131</v>
      </c>
      <c r="F39" s="13" t="s">
        <v>132</v>
      </c>
      <c r="G39" s="13" t="str">
        <f>IFERROR(INDEX(Web!$G:$G,MATCH(F39,Web!#REF!,0)),"")</f>
        <v/>
      </c>
      <c r="H39" s="13" t="s">
        <v>51</v>
      </c>
    </row>
    <row r="40" spans="1:8" x14ac:dyDescent="0.3">
      <c r="A40" s="13" t="str">
        <f t="shared" si="1"/>
        <v>☐</v>
      </c>
      <c r="B40" s="13">
        <v>34</v>
      </c>
      <c r="C40" s="13" t="s">
        <v>2</v>
      </c>
      <c r="D40" s="14" t="s">
        <v>133</v>
      </c>
      <c r="E40" s="14" t="s">
        <v>134</v>
      </c>
      <c r="F40" s="13" t="s">
        <v>135</v>
      </c>
      <c r="G40" s="13" t="str">
        <f>IFERROR(INDEX(Web!$G:$G,MATCH(F40,Web!#REF!,0)),"")</f>
        <v/>
      </c>
      <c r="H40" s="13" t="s">
        <v>51</v>
      </c>
    </row>
    <row r="41" spans="1:8" x14ac:dyDescent="0.3">
      <c r="A41" s="13" t="str">
        <f t="shared" si="1"/>
        <v>☐</v>
      </c>
      <c r="B41" s="13">
        <v>35</v>
      </c>
      <c r="C41" s="13" t="s">
        <v>2</v>
      </c>
      <c r="D41" s="14" t="s">
        <v>133</v>
      </c>
      <c r="E41" s="14" t="s">
        <v>136</v>
      </c>
      <c r="F41" s="13" t="s">
        <v>137</v>
      </c>
      <c r="G41" s="13" t="str">
        <f>IFERROR(INDEX(Web!$G:$G,MATCH(F41,Web!#REF!,0)),"")</f>
        <v/>
      </c>
      <c r="H41" s="13" t="s">
        <v>54</v>
      </c>
    </row>
    <row r="42" spans="1:8" x14ac:dyDescent="0.3">
      <c r="A42" s="13" t="str">
        <f t="shared" si="1"/>
        <v>☐</v>
      </c>
      <c r="B42" s="13">
        <v>36</v>
      </c>
      <c r="C42" s="13" t="s">
        <v>24</v>
      </c>
      <c r="D42" s="14" t="s">
        <v>106</v>
      </c>
      <c r="E42" s="14" t="s">
        <v>138</v>
      </c>
      <c r="F42" s="13" t="s">
        <v>139</v>
      </c>
      <c r="G42" s="13" t="str">
        <f>IFERROR(INDEX(App!$L:$L,MATCH(F42,App!$A:$A,0)),"")</f>
        <v>Chưa test</v>
      </c>
      <c r="H42" s="13" t="s">
        <v>51</v>
      </c>
    </row>
    <row r="43" spans="1:8" x14ac:dyDescent="0.3">
      <c r="A43" s="13" t="str">
        <f t="shared" si="1"/>
        <v>☐</v>
      </c>
      <c r="B43" s="13">
        <v>37</v>
      </c>
      <c r="C43" s="13" t="s">
        <v>24</v>
      </c>
      <c r="D43" s="14" t="s">
        <v>140</v>
      </c>
      <c r="E43" s="14" t="s">
        <v>141</v>
      </c>
      <c r="F43" s="13" t="s">
        <v>142</v>
      </c>
      <c r="G43" s="13" t="str">
        <f>IFERROR(INDEX(App!$L:$L,MATCH(F43,App!$A:$A,0)),"")</f>
        <v>Chưa test</v>
      </c>
      <c r="H43" s="13" t="s">
        <v>51</v>
      </c>
    </row>
    <row r="44" spans="1:8" x14ac:dyDescent="0.3">
      <c r="A44" s="13" t="str">
        <f t="shared" si="1"/>
        <v>☐</v>
      </c>
      <c r="B44" s="13">
        <v>38</v>
      </c>
      <c r="C44" s="13" t="s">
        <v>24</v>
      </c>
      <c r="D44" s="14" t="s">
        <v>143</v>
      </c>
      <c r="E44" s="14" t="s">
        <v>144</v>
      </c>
      <c r="F44" s="13" t="s">
        <v>145</v>
      </c>
      <c r="G44" s="13" t="str">
        <f>IFERROR(INDEX(App!$L:$L,MATCH(F44,App!$A:$A,0)),"")</f>
        <v>Chưa test</v>
      </c>
      <c r="H44" s="13" t="s">
        <v>54</v>
      </c>
    </row>
    <row r="45" spans="1:8" x14ac:dyDescent="0.3">
      <c r="A45" s="12" t="s">
        <v>12</v>
      </c>
      <c r="B45" s="12"/>
      <c r="C45" s="12"/>
      <c r="D45" s="12"/>
      <c r="E45" s="12"/>
      <c r="F45" s="12"/>
      <c r="G45" s="12" t="str">
        <f>COUNTIF(G46:G86,"Đạt")&amp;"/41 đạt"</f>
        <v>0/41 đạt</v>
      </c>
      <c r="H45" s="12"/>
    </row>
    <row r="46" spans="1:8" x14ac:dyDescent="0.3">
      <c r="A46" s="13" t="str">
        <f t="shared" ref="A46:A86" si="2">IF(G46="Đạt","☑",IF(G46="Lỗi","✗",IF(G46="Bỏ qua","–","☐")))</f>
        <v>☐</v>
      </c>
      <c r="B46" s="13">
        <v>39</v>
      </c>
      <c r="C46" s="13" t="s">
        <v>2</v>
      </c>
      <c r="D46" s="14" t="s">
        <v>146</v>
      </c>
      <c r="E46" s="14" t="s">
        <v>147</v>
      </c>
      <c r="F46" s="13" t="s">
        <v>148</v>
      </c>
      <c r="G46" s="13" t="str">
        <f>IFERROR(INDEX(Web!$G:$G,MATCH(F46,Web!#REF!,0)),"")</f>
        <v/>
      </c>
      <c r="H46" s="13" t="s">
        <v>51</v>
      </c>
    </row>
    <row r="47" spans="1:8" x14ac:dyDescent="0.3">
      <c r="A47" s="13" t="str">
        <f t="shared" si="2"/>
        <v>☐</v>
      </c>
      <c r="B47" s="13">
        <v>40</v>
      </c>
      <c r="C47" s="13" t="s">
        <v>2</v>
      </c>
      <c r="D47" s="14" t="s">
        <v>146</v>
      </c>
      <c r="E47" s="14" t="s">
        <v>149</v>
      </c>
      <c r="F47" s="13" t="s">
        <v>150</v>
      </c>
      <c r="G47" s="13" t="str">
        <f>IFERROR(INDEX(Web!$G:$G,MATCH(F47,Web!#REF!,0)),"")</f>
        <v/>
      </c>
      <c r="H47" s="13" t="s">
        <v>51</v>
      </c>
    </row>
    <row r="48" spans="1:8" x14ac:dyDescent="0.3">
      <c r="A48" s="13" t="str">
        <f t="shared" si="2"/>
        <v>☐</v>
      </c>
      <c r="B48" s="13">
        <v>41</v>
      </c>
      <c r="C48" s="13" t="s">
        <v>2</v>
      </c>
      <c r="D48" s="14" t="s">
        <v>146</v>
      </c>
      <c r="E48" s="14" t="s">
        <v>151</v>
      </c>
      <c r="F48" s="13" t="s">
        <v>152</v>
      </c>
      <c r="G48" s="13" t="str">
        <f>IFERROR(INDEX(Web!$G:$G,MATCH(F48,Web!#REF!,0)),"")</f>
        <v/>
      </c>
      <c r="H48" s="13" t="s">
        <v>54</v>
      </c>
    </row>
    <row r="49" spans="1:8" x14ac:dyDescent="0.3">
      <c r="A49" s="13" t="str">
        <f t="shared" si="2"/>
        <v>☐</v>
      </c>
      <c r="B49" s="13">
        <v>42</v>
      </c>
      <c r="C49" s="13" t="s">
        <v>2</v>
      </c>
      <c r="D49" s="14" t="s">
        <v>146</v>
      </c>
      <c r="E49" s="14" t="s">
        <v>153</v>
      </c>
      <c r="F49" s="13" t="s">
        <v>154</v>
      </c>
      <c r="G49" s="13" t="str">
        <f>IFERROR(INDEX(Web!$G:$G,MATCH(F49,Web!#REF!,0)),"")</f>
        <v/>
      </c>
      <c r="H49" s="13" t="s">
        <v>54</v>
      </c>
    </row>
    <row r="50" spans="1:8" x14ac:dyDescent="0.3">
      <c r="A50" s="13" t="str">
        <f t="shared" si="2"/>
        <v>☐</v>
      </c>
      <c r="B50" s="13">
        <v>43</v>
      </c>
      <c r="C50" s="13" t="s">
        <v>2</v>
      </c>
      <c r="D50" s="14" t="s">
        <v>155</v>
      </c>
      <c r="E50" s="14" t="s">
        <v>156</v>
      </c>
      <c r="F50" s="13" t="s">
        <v>157</v>
      </c>
      <c r="G50" s="13" t="str">
        <f>IFERROR(INDEX(Web!$G:$G,MATCH(F50,Web!#REF!,0)),"")</f>
        <v/>
      </c>
      <c r="H50" s="13" t="s">
        <v>51</v>
      </c>
    </row>
    <row r="51" spans="1:8" x14ac:dyDescent="0.3">
      <c r="A51" s="13" t="str">
        <f t="shared" si="2"/>
        <v>☐</v>
      </c>
      <c r="B51" s="13">
        <v>44</v>
      </c>
      <c r="C51" s="13" t="s">
        <v>2</v>
      </c>
      <c r="D51" s="14" t="s">
        <v>155</v>
      </c>
      <c r="E51" s="14" t="s">
        <v>158</v>
      </c>
      <c r="F51" s="13" t="s">
        <v>159</v>
      </c>
      <c r="G51" s="13" t="str">
        <f>IFERROR(INDEX(Web!$G:$G,MATCH(F51,Web!#REF!,0)),"")</f>
        <v/>
      </c>
      <c r="H51" s="13" t="s">
        <v>51</v>
      </c>
    </row>
    <row r="52" spans="1:8" x14ac:dyDescent="0.3">
      <c r="A52" s="13" t="str">
        <f t="shared" si="2"/>
        <v>☐</v>
      </c>
      <c r="B52" s="13">
        <v>45</v>
      </c>
      <c r="C52" s="13" t="s">
        <v>2</v>
      </c>
      <c r="D52" s="14" t="s">
        <v>155</v>
      </c>
      <c r="E52" s="14" t="s">
        <v>160</v>
      </c>
      <c r="F52" s="13" t="s">
        <v>161</v>
      </c>
      <c r="G52" s="13" t="str">
        <f>IFERROR(INDEX(Web!$G:$G,MATCH(F52,Web!#REF!,0)),"")</f>
        <v/>
      </c>
      <c r="H52" s="13" t="s">
        <v>99</v>
      </c>
    </row>
    <row r="53" spans="1:8" x14ac:dyDescent="0.3">
      <c r="A53" s="13" t="str">
        <f t="shared" si="2"/>
        <v>☐</v>
      </c>
      <c r="B53" s="13">
        <v>46</v>
      </c>
      <c r="C53" s="13" t="s">
        <v>2</v>
      </c>
      <c r="D53" s="14" t="s">
        <v>162</v>
      </c>
      <c r="E53" s="14" t="s">
        <v>163</v>
      </c>
      <c r="F53" s="13" t="s">
        <v>164</v>
      </c>
      <c r="G53" s="13" t="str">
        <f>IFERROR(INDEX(Web!$G:$G,MATCH(F53,Web!#REF!,0)),"")</f>
        <v/>
      </c>
      <c r="H53" s="13" t="s">
        <v>51</v>
      </c>
    </row>
    <row r="54" spans="1:8" x14ac:dyDescent="0.3">
      <c r="A54" s="13" t="str">
        <f t="shared" si="2"/>
        <v>☐</v>
      </c>
      <c r="B54" s="13">
        <v>47</v>
      </c>
      <c r="C54" s="13" t="s">
        <v>2</v>
      </c>
      <c r="D54" s="14" t="s">
        <v>162</v>
      </c>
      <c r="E54" s="14" t="s">
        <v>165</v>
      </c>
      <c r="F54" s="13" t="s">
        <v>166</v>
      </c>
      <c r="G54" s="13" t="str">
        <f>IFERROR(INDEX(Web!$G:$G,MATCH(F54,Web!#REF!,0)),"")</f>
        <v/>
      </c>
      <c r="H54" s="13" t="s">
        <v>54</v>
      </c>
    </row>
    <row r="55" spans="1:8" x14ac:dyDescent="0.3">
      <c r="A55" s="13" t="str">
        <f t="shared" si="2"/>
        <v>☐</v>
      </c>
      <c r="B55" s="13">
        <v>48</v>
      </c>
      <c r="C55" s="13" t="s">
        <v>2</v>
      </c>
      <c r="D55" s="14" t="s">
        <v>167</v>
      </c>
      <c r="E55" s="14" t="s">
        <v>168</v>
      </c>
      <c r="F55" s="13" t="s">
        <v>169</v>
      </c>
      <c r="G55" s="13" t="str">
        <f>IFERROR(INDEX(Web!$G:$G,MATCH(F55,Web!#REF!,0)),"")</f>
        <v/>
      </c>
      <c r="H55" s="13" t="s">
        <v>51</v>
      </c>
    </row>
    <row r="56" spans="1:8" x14ac:dyDescent="0.3">
      <c r="A56" s="13" t="str">
        <f t="shared" si="2"/>
        <v>☐</v>
      </c>
      <c r="B56" s="13">
        <v>49</v>
      </c>
      <c r="C56" s="13" t="s">
        <v>2</v>
      </c>
      <c r="D56" s="14" t="s">
        <v>167</v>
      </c>
      <c r="E56" s="14" t="s">
        <v>170</v>
      </c>
      <c r="F56" s="13" t="s">
        <v>171</v>
      </c>
      <c r="G56" s="13" t="str">
        <f>IFERROR(INDEX(Web!$G:$G,MATCH(F56,Web!#REF!,0)),"")</f>
        <v/>
      </c>
      <c r="H56" s="13" t="s">
        <v>54</v>
      </c>
    </row>
    <row r="57" spans="1:8" x14ac:dyDescent="0.3">
      <c r="A57" s="13" t="str">
        <f t="shared" si="2"/>
        <v>☐</v>
      </c>
      <c r="B57" s="13">
        <v>50</v>
      </c>
      <c r="C57" s="13" t="s">
        <v>2</v>
      </c>
      <c r="D57" s="14" t="s">
        <v>172</v>
      </c>
      <c r="E57" s="14" t="s">
        <v>173</v>
      </c>
      <c r="F57" s="13" t="s">
        <v>174</v>
      </c>
      <c r="G57" s="13" t="str">
        <f>IFERROR(INDEX(Web!$G:$G,MATCH(F57,Web!#REF!,0)),"")</f>
        <v/>
      </c>
      <c r="H57" s="13" t="s">
        <v>54</v>
      </c>
    </row>
    <row r="58" spans="1:8" x14ac:dyDescent="0.3">
      <c r="A58" s="13" t="str">
        <f t="shared" si="2"/>
        <v>☐</v>
      </c>
      <c r="B58" s="13">
        <v>51</v>
      </c>
      <c r="C58" s="13" t="s">
        <v>2</v>
      </c>
      <c r="D58" s="14" t="s">
        <v>172</v>
      </c>
      <c r="E58" s="14" t="s">
        <v>175</v>
      </c>
      <c r="F58" s="13" t="s">
        <v>176</v>
      </c>
      <c r="G58" s="13" t="str">
        <f>IFERROR(INDEX(Web!$G:$G,MATCH(F58,Web!#REF!,0)),"")</f>
        <v/>
      </c>
      <c r="H58" s="13" t="s">
        <v>54</v>
      </c>
    </row>
    <row r="59" spans="1:8" x14ac:dyDescent="0.3">
      <c r="A59" s="13" t="str">
        <f t="shared" si="2"/>
        <v>☐</v>
      </c>
      <c r="B59" s="13">
        <v>52</v>
      </c>
      <c r="C59" s="13" t="s">
        <v>2</v>
      </c>
      <c r="D59" s="14" t="s">
        <v>177</v>
      </c>
      <c r="E59" s="14" t="s">
        <v>178</v>
      </c>
      <c r="F59" s="13" t="s">
        <v>179</v>
      </c>
      <c r="G59" s="13" t="str">
        <f>IFERROR(INDEX(Web!$G:$G,MATCH(F59,Web!#REF!,0)),"")</f>
        <v/>
      </c>
      <c r="H59" s="13" t="s">
        <v>51</v>
      </c>
    </row>
    <row r="60" spans="1:8" x14ac:dyDescent="0.3">
      <c r="A60" s="13" t="str">
        <f t="shared" si="2"/>
        <v>☐</v>
      </c>
      <c r="B60" s="13">
        <v>53</v>
      </c>
      <c r="C60" s="13" t="s">
        <v>2</v>
      </c>
      <c r="D60" s="14" t="s">
        <v>177</v>
      </c>
      <c r="E60" s="14" t="s">
        <v>180</v>
      </c>
      <c r="F60" s="13" t="s">
        <v>181</v>
      </c>
      <c r="G60" s="13" t="str">
        <f>IFERROR(INDEX(Web!$G:$G,MATCH(F60,Web!#REF!,0)),"")</f>
        <v/>
      </c>
      <c r="H60" s="13" t="s">
        <v>51</v>
      </c>
    </row>
    <row r="61" spans="1:8" x14ac:dyDescent="0.3">
      <c r="A61" s="13" t="str">
        <f t="shared" si="2"/>
        <v>☐</v>
      </c>
      <c r="B61" s="13">
        <v>54</v>
      </c>
      <c r="C61" s="13" t="s">
        <v>2</v>
      </c>
      <c r="D61" s="14" t="s">
        <v>177</v>
      </c>
      <c r="E61" s="14" t="s">
        <v>182</v>
      </c>
      <c r="F61" s="13" t="s">
        <v>183</v>
      </c>
      <c r="G61" s="13" t="str">
        <f>IFERROR(INDEX(Web!$G:$G,MATCH(F61,Web!#REF!,0)),"")</f>
        <v/>
      </c>
      <c r="H61" s="13" t="s">
        <v>99</v>
      </c>
    </row>
    <row r="62" spans="1:8" x14ac:dyDescent="0.3">
      <c r="A62" s="13" t="str">
        <f t="shared" si="2"/>
        <v>☐</v>
      </c>
      <c r="B62" s="13">
        <v>55</v>
      </c>
      <c r="C62" s="13" t="s">
        <v>2</v>
      </c>
      <c r="D62" s="14" t="s">
        <v>184</v>
      </c>
      <c r="E62" s="14" t="s">
        <v>185</v>
      </c>
      <c r="F62" s="13" t="s">
        <v>186</v>
      </c>
      <c r="G62" s="13" t="str">
        <f>IFERROR(INDEX(Web!$G:$G,MATCH(F62,Web!#REF!,0)),"")</f>
        <v/>
      </c>
      <c r="H62" s="13" t="s">
        <v>54</v>
      </c>
    </row>
    <row r="63" spans="1:8" x14ac:dyDescent="0.3">
      <c r="A63" s="13" t="str">
        <f t="shared" si="2"/>
        <v>☐</v>
      </c>
      <c r="B63" s="13">
        <v>56</v>
      </c>
      <c r="C63" s="13" t="s">
        <v>2</v>
      </c>
      <c r="D63" s="14" t="s">
        <v>184</v>
      </c>
      <c r="E63" s="14" t="s">
        <v>187</v>
      </c>
      <c r="F63" s="13" t="s">
        <v>188</v>
      </c>
      <c r="G63" s="13" t="str">
        <f>IFERROR(INDEX(Web!$G:$G,MATCH(F63,Web!#REF!,0)),"")</f>
        <v/>
      </c>
      <c r="H63" s="13" t="s">
        <v>51</v>
      </c>
    </row>
    <row r="64" spans="1:8" x14ac:dyDescent="0.3">
      <c r="A64" s="13" t="str">
        <f t="shared" si="2"/>
        <v>☐</v>
      </c>
      <c r="B64" s="13">
        <v>57</v>
      </c>
      <c r="C64" s="13" t="s">
        <v>2</v>
      </c>
      <c r="D64" s="14" t="s">
        <v>184</v>
      </c>
      <c r="E64" s="14" t="s">
        <v>189</v>
      </c>
      <c r="F64" s="13" t="s">
        <v>190</v>
      </c>
      <c r="G64" s="13" t="str">
        <f>IFERROR(INDEX(Web!$G:$G,MATCH(F64,Web!#REF!,0)),"")</f>
        <v/>
      </c>
      <c r="H64" s="13" t="s">
        <v>51</v>
      </c>
    </row>
    <row r="65" spans="1:8" x14ac:dyDescent="0.3">
      <c r="A65" s="13" t="str">
        <f t="shared" si="2"/>
        <v>☐</v>
      </c>
      <c r="B65" s="13">
        <v>58</v>
      </c>
      <c r="C65" s="13" t="s">
        <v>2</v>
      </c>
      <c r="D65" s="14" t="s">
        <v>184</v>
      </c>
      <c r="E65" s="14" t="s">
        <v>191</v>
      </c>
      <c r="F65" s="13" t="s">
        <v>192</v>
      </c>
      <c r="G65" s="13" t="str">
        <f>IFERROR(INDEX(Web!$G:$G,MATCH(F65,Web!#REF!,0)),"")</f>
        <v/>
      </c>
      <c r="H65" s="13" t="s">
        <v>54</v>
      </c>
    </row>
    <row r="66" spans="1:8" x14ac:dyDescent="0.3">
      <c r="A66" s="13" t="str">
        <f t="shared" si="2"/>
        <v>☐</v>
      </c>
      <c r="B66" s="13">
        <v>59</v>
      </c>
      <c r="C66" s="13" t="s">
        <v>2</v>
      </c>
      <c r="D66" s="14" t="s">
        <v>184</v>
      </c>
      <c r="E66" s="14" t="s">
        <v>193</v>
      </c>
      <c r="F66" s="13" t="s">
        <v>194</v>
      </c>
      <c r="G66" s="13" t="str">
        <f>IFERROR(INDEX(Web!$G:$G,MATCH(F66,Web!#REF!,0)),"")</f>
        <v/>
      </c>
      <c r="H66" s="13" t="s">
        <v>51</v>
      </c>
    </row>
    <row r="67" spans="1:8" x14ac:dyDescent="0.3">
      <c r="A67" s="13" t="str">
        <f t="shared" si="2"/>
        <v>☐</v>
      </c>
      <c r="B67" s="13">
        <v>60</v>
      </c>
      <c r="C67" s="13" t="s">
        <v>2</v>
      </c>
      <c r="D67" s="14" t="s">
        <v>195</v>
      </c>
      <c r="E67" s="14" t="s">
        <v>196</v>
      </c>
      <c r="F67" s="13" t="s">
        <v>197</v>
      </c>
      <c r="G67" s="13" t="str">
        <f>IFERROR(INDEX(Web!$G:$G,MATCH(F67,Web!#REF!,0)),"")</f>
        <v/>
      </c>
      <c r="H67" s="13" t="s">
        <v>51</v>
      </c>
    </row>
    <row r="68" spans="1:8" x14ac:dyDescent="0.3">
      <c r="A68" s="13" t="str">
        <f t="shared" si="2"/>
        <v>☐</v>
      </c>
      <c r="B68" s="13">
        <v>61</v>
      </c>
      <c r="C68" s="13" t="s">
        <v>24</v>
      </c>
      <c r="D68" s="14" t="s">
        <v>12</v>
      </c>
      <c r="E68" s="14" t="s">
        <v>198</v>
      </c>
      <c r="F68" s="13" t="s">
        <v>199</v>
      </c>
      <c r="G68" s="13" t="str">
        <f>IFERROR(INDEX(App!$L:$L,MATCH(F68,App!$A:$A,0)),"")</f>
        <v>Chưa test</v>
      </c>
      <c r="H68" s="13" t="s">
        <v>51</v>
      </c>
    </row>
    <row r="69" spans="1:8" x14ac:dyDescent="0.3">
      <c r="A69" s="13" t="str">
        <f t="shared" si="2"/>
        <v>☐</v>
      </c>
      <c r="B69" s="13">
        <v>62</v>
      </c>
      <c r="C69" s="13" t="s">
        <v>24</v>
      </c>
      <c r="D69" s="14" t="s">
        <v>12</v>
      </c>
      <c r="E69" s="14" t="s">
        <v>200</v>
      </c>
      <c r="F69" s="13" t="s">
        <v>201</v>
      </c>
      <c r="G69" s="13" t="str">
        <f>IFERROR(INDEX(App!$L:$L,MATCH(F69,App!$A:$A,0)),"")</f>
        <v>Chưa test</v>
      </c>
      <c r="H69" s="13" t="s">
        <v>51</v>
      </c>
    </row>
    <row r="70" spans="1:8" x14ac:dyDescent="0.3">
      <c r="A70" s="13" t="str">
        <f t="shared" si="2"/>
        <v>☐</v>
      </c>
      <c r="B70" s="13">
        <v>63</v>
      </c>
      <c r="C70" s="13" t="s">
        <v>24</v>
      </c>
      <c r="D70" s="14" t="s">
        <v>80</v>
      </c>
      <c r="E70" s="14" t="s">
        <v>202</v>
      </c>
      <c r="F70" s="13" t="s">
        <v>203</v>
      </c>
      <c r="G70" s="13" t="str">
        <f>IFERROR(INDEX(App!$L:$L,MATCH(F70,App!$A:$A,0)),"")</f>
        <v>Chưa test</v>
      </c>
      <c r="H70" s="13" t="s">
        <v>51</v>
      </c>
    </row>
    <row r="71" spans="1:8" x14ac:dyDescent="0.3">
      <c r="A71" s="13" t="str">
        <f t="shared" si="2"/>
        <v>☐</v>
      </c>
      <c r="B71" s="13">
        <v>64</v>
      </c>
      <c r="C71" s="13" t="s">
        <v>24</v>
      </c>
      <c r="D71" s="14" t="s">
        <v>80</v>
      </c>
      <c r="E71" s="14" t="s">
        <v>204</v>
      </c>
      <c r="F71" s="13" t="s">
        <v>205</v>
      </c>
      <c r="G71" s="13" t="str">
        <f>IFERROR(INDEX(App!$L:$L,MATCH(F71,App!$A:$A,0)),"")</f>
        <v>Chưa test</v>
      </c>
      <c r="H71" s="13" t="s">
        <v>54</v>
      </c>
    </row>
    <row r="72" spans="1:8" x14ac:dyDescent="0.3">
      <c r="A72" s="13" t="str">
        <f t="shared" si="2"/>
        <v>☐</v>
      </c>
      <c r="B72" s="13">
        <v>65</v>
      </c>
      <c r="C72" s="13" t="s">
        <v>24</v>
      </c>
      <c r="D72" s="14" t="s">
        <v>151</v>
      </c>
      <c r="E72" s="14" t="s">
        <v>206</v>
      </c>
      <c r="F72" s="13" t="s">
        <v>207</v>
      </c>
      <c r="G72" s="13" t="str">
        <f>IFERROR(INDEX(App!$L:$L,MATCH(F72,App!$A:$A,0)),"")</f>
        <v>Chưa test</v>
      </c>
      <c r="H72" s="13" t="s">
        <v>54</v>
      </c>
    </row>
    <row r="73" spans="1:8" x14ac:dyDescent="0.3">
      <c r="A73" s="13" t="str">
        <f t="shared" si="2"/>
        <v>☐</v>
      </c>
      <c r="B73" s="13">
        <v>66</v>
      </c>
      <c r="C73" s="13" t="s">
        <v>24</v>
      </c>
      <c r="D73" s="14" t="s">
        <v>208</v>
      </c>
      <c r="E73" s="14" t="s">
        <v>209</v>
      </c>
      <c r="F73" s="13" t="s">
        <v>210</v>
      </c>
      <c r="G73" s="13" t="str">
        <f>IFERROR(INDEX(App!$L:$L,MATCH(F73,App!$A:$A,0)),"")</f>
        <v>Chưa test</v>
      </c>
      <c r="H73" s="13" t="s">
        <v>51</v>
      </c>
    </row>
    <row r="74" spans="1:8" x14ac:dyDescent="0.3">
      <c r="A74" s="13" t="str">
        <f t="shared" si="2"/>
        <v>☐</v>
      </c>
      <c r="B74" s="13">
        <v>67</v>
      </c>
      <c r="C74" s="13" t="s">
        <v>24</v>
      </c>
      <c r="D74" s="14" t="s">
        <v>208</v>
      </c>
      <c r="E74" s="14" t="s">
        <v>211</v>
      </c>
      <c r="F74" s="13" t="s">
        <v>212</v>
      </c>
      <c r="G74" s="13" t="str">
        <f>IFERROR(INDEX(App!$L:$L,MATCH(F74,App!$A:$A,0)),"")</f>
        <v>Chưa test</v>
      </c>
      <c r="H74" s="13" t="s">
        <v>51</v>
      </c>
    </row>
    <row r="75" spans="1:8" x14ac:dyDescent="0.3">
      <c r="A75" s="13" t="str">
        <f t="shared" si="2"/>
        <v>☐</v>
      </c>
      <c r="B75" s="13">
        <v>68</v>
      </c>
      <c r="C75" s="13" t="s">
        <v>24</v>
      </c>
      <c r="D75" s="14" t="s">
        <v>213</v>
      </c>
      <c r="E75" s="14" t="s">
        <v>214</v>
      </c>
      <c r="F75" s="13" t="s">
        <v>215</v>
      </c>
      <c r="G75" s="13" t="str">
        <f>IFERROR(INDEX(App!$L:$L,MATCH(F75,App!$A:$A,0)),"")</f>
        <v>Chưa test</v>
      </c>
      <c r="H75" s="13" t="s">
        <v>51</v>
      </c>
    </row>
    <row r="76" spans="1:8" x14ac:dyDescent="0.3">
      <c r="A76" s="13" t="str">
        <f t="shared" si="2"/>
        <v>☐</v>
      </c>
      <c r="B76" s="13">
        <v>69</v>
      </c>
      <c r="C76" s="13" t="s">
        <v>24</v>
      </c>
      <c r="D76" s="14" t="s">
        <v>213</v>
      </c>
      <c r="E76" s="14" t="s">
        <v>216</v>
      </c>
      <c r="F76" s="13" t="s">
        <v>217</v>
      </c>
      <c r="G76" s="13" t="str">
        <f>IFERROR(INDEX(App!$L:$L,MATCH(F76,App!$A:$A,0)),"")</f>
        <v>Chưa test</v>
      </c>
      <c r="H76" s="13" t="s">
        <v>54</v>
      </c>
    </row>
    <row r="77" spans="1:8" x14ac:dyDescent="0.3">
      <c r="A77" s="13" t="str">
        <f t="shared" si="2"/>
        <v>☐</v>
      </c>
      <c r="B77" s="13">
        <v>70</v>
      </c>
      <c r="C77" s="13" t="s">
        <v>24</v>
      </c>
      <c r="D77" s="14" t="s">
        <v>218</v>
      </c>
      <c r="E77" s="14" t="s">
        <v>219</v>
      </c>
      <c r="F77" s="13" t="s">
        <v>220</v>
      </c>
      <c r="G77" s="13" t="str">
        <f>IFERROR(INDEX(App!$L:$L,MATCH(F77,App!$A:$A,0)),"")</f>
        <v>Chưa test</v>
      </c>
      <c r="H77" s="13" t="s">
        <v>51</v>
      </c>
    </row>
    <row r="78" spans="1:8" x14ac:dyDescent="0.3">
      <c r="A78" s="13" t="str">
        <f t="shared" si="2"/>
        <v>☐</v>
      </c>
      <c r="B78" s="13">
        <v>71</v>
      </c>
      <c r="C78" s="13" t="s">
        <v>24</v>
      </c>
      <c r="D78" s="14" t="s">
        <v>218</v>
      </c>
      <c r="E78" s="14" t="s">
        <v>221</v>
      </c>
      <c r="F78" s="13" t="s">
        <v>222</v>
      </c>
      <c r="G78" s="13" t="str">
        <f>IFERROR(INDEX(App!$L:$L,MATCH(F78,App!$A:$A,0)),"")</f>
        <v>Chưa test</v>
      </c>
      <c r="H78" s="13" t="s">
        <v>54</v>
      </c>
    </row>
    <row r="79" spans="1:8" x14ac:dyDescent="0.3">
      <c r="A79" s="13" t="str">
        <f t="shared" si="2"/>
        <v>☐</v>
      </c>
      <c r="B79" s="13">
        <v>72</v>
      </c>
      <c r="C79" s="13" t="s">
        <v>24</v>
      </c>
      <c r="D79" s="14" t="s">
        <v>223</v>
      </c>
      <c r="E79" s="14" t="s">
        <v>224</v>
      </c>
      <c r="F79" s="13" t="s">
        <v>225</v>
      </c>
      <c r="G79" s="13" t="str">
        <f>IFERROR(INDEX(App!$L:$L,MATCH(F79,App!$A:$A,0)),"")</f>
        <v>Chưa test</v>
      </c>
      <c r="H79" s="13" t="s">
        <v>54</v>
      </c>
    </row>
    <row r="80" spans="1:8" x14ac:dyDescent="0.3">
      <c r="A80" s="13" t="str">
        <f t="shared" si="2"/>
        <v>☐</v>
      </c>
      <c r="B80" s="13">
        <v>73</v>
      </c>
      <c r="C80" s="13" t="s">
        <v>24</v>
      </c>
      <c r="D80" s="14" t="s">
        <v>177</v>
      </c>
      <c r="E80" s="14" t="s">
        <v>226</v>
      </c>
      <c r="F80" s="13" t="s">
        <v>227</v>
      </c>
      <c r="G80" s="13" t="str">
        <f>IFERROR(INDEX(App!$L:$L,MATCH(F80,App!$A:$A,0)),"")</f>
        <v>Chưa test</v>
      </c>
      <c r="H80" s="13" t="s">
        <v>51</v>
      </c>
    </row>
    <row r="81" spans="1:8" x14ac:dyDescent="0.3">
      <c r="A81" s="13" t="str">
        <f t="shared" si="2"/>
        <v>☐</v>
      </c>
      <c r="B81" s="13">
        <v>74</v>
      </c>
      <c r="C81" s="13" t="s">
        <v>24</v>
      </c>
      <c r="D81" s="14" t="s">
        <v>177</v>
      </c>
      <c r="E81" s="14" t="s">
        <v>228</v>
      </c>
      <c r="F81" s="13" t="s">
        <v>229</v>
      </c>
      <c r="G81" s="13" t="str">
        <f>IFERROR(INDEX(App!$L:$L,MATCH(F81,App!$A:$A,0)),"")</f>
        <v>Chưa test</v>
      </c>
      <c r="H81" s="13" t="s">
        <v>54</v>
      </c>
    </row>
    <row r="82" spans="1:8" x14ac:dyDescent="0.3">
      <c r="A82" s="13" t="str">
        <f t="shared" si="2"/>
        <v>☐</v>
      </c>
      <c r="B82" s="13">
        <v>75</v>
      </c>
      <c r="C82" s="13" t="s">
        <v>24</v>
      </c>
      <c r="D82" s="14" t="s">
        <v>184</v>
      </c>
      <c r="E82" s="14" t="s">
        <v>185</v>
      </c>
      <c r="F82" s="13" t="s">
        <v>230</v>
      </c>
      <c r="G82" s="13" t="str">
        <f>IFERROR(INDEX(App!$L:$L,MATCH(F82,App!$A:$A,0)),"")</f>
        <v>Chưa test</v>
      </c>
      <c r="H82" s="13" t="s">
        <v>54</v>
      </c>
    </row>
    <row r="83" spans="1:8" x14ac:dyDescent="0.3">
      <c r="A83" s="13" t="str">
        <f t="shared" si="2"/>
        <v>☐</v>
      </c>
      <c r="B83" s="13">
        <v>76</v>
      </c>
      <c r="C83" s="13" t="s">
        <v>24</v>
      </c>
      <c r="D83" s="14" t="s">
        <v>184</v>
      </c>
      <c r="E83" s="14" t="s">
        <v>231</v>
      </c>
      <c r="F83" s="13" t="s">
        <v>232</v>
      </c>
      <c r="G83" s="13" t="str">
        <f>IFERROR(INDEX(App!$L:$L,MATCH(F83,App!$A:$A,0)),"")</f>
        <v>Chưa test</v>
      </c>
      <c r="H83" s="13" t="s">
        <v>51</v>
      </c>
    </row>
    <row r="84" spans="1:8" x14ac:dyDescent="0.3">
      <c r="A84" s="13" t="str">
        <f t="shared" si="2"/>
        <v>☐</v>
      </c>
      <c r="B84" s="13">
        <v>77</v>
      </c>
      <c r="C84" s="13" t="s">
        <v>24</v>
      </c>
      <c r="D84" s="14" t="s">
        <v>184</v>
      </c>
      <c r="E84" s="14" t="s">
        <v>233</v>
      </c>
      <c r="F84" s="13" t="s">
        <v>234</v>
      </c>
      <c r="G84" s="13" t="str">
        <f>IFERROR(INDEX(App!$L:$L,MATCH(F84,App!$A:$A,0)),"")</f>
        <v>Chưa test</v>
      </c>
      <c r="H84" s="13" t="s">
        <v>51</v>
      </c>
    </row>
    <row r="85" spans="1:8" x14ac:dyDescent="0.3">
      <c r="A85" s="13" t="str">
        <f t="shared" si="2"/>
        <v>☐</v>
      </c>
      <c r="B85" s="13">
        <v>78</v>
      </c>
      <c r="C85" s="13" t="s">
        <v>24</v>
      </c>
      <c r="D85" s="14" t="s">
        <v>195</v>
      </c>
      <c r="E85" s="14" t="s">
        <v>235</v>
      </c>
      <c r="F85" s="13" t="s">
        <v>236</v>
      </c>
      <c r="G85" s="13" t="str">
        <f>IFERROR(INDEX(App!$L:$L,MATCH(F85,App!$A:$A,0)),"")</f>
        <v>Chưa test</v>
      </c>
      <c r="H85" s="13" t="s">
        <v>51</v>
      </c>
    </row>
    <row r="86" spans="1:8" x14ac:dyDescent="0.3">
      <c r="A86" s="13" t="str">
        <f t="shared" si="2"/>
        <v>☐</v>
      </c>
      <c r="B86" s="13">
        <v>79</v>
      </c>
      <c r="C86" s="13" t="s">
        <v>24</v>
      </c>
      <c r="D86" s="14" t="s">
        <v>195</v>
      </c>
      <c r="E86" s="14" t="s">
        <v>237</v>
      </c>
      <c r="F86" s="13" t="s">
        <v>238</v>
      </c>
      <c r="G86" s="13" t="str">
        <f>IFERROR(INDEX(App!$L:$L,MATCH(F86,App!$A:$A,0)),"")</f>
        <v>Chưa test</v>
      </c>
      <c r="H86" s="13" t="s">
        <v>54</v>
      </c>
    </row>
    <row r="87" spans="1:8" x14ac:dyDescent="0.3">
      <c r="A87" s="12" t="s">
        <v>13</v>
      </c>
      <c r="B87" s="12"/>
      <c r="C87" s="12"/>
      <c r="D87" s="12"/>
      <c r="E87" s="12"/>
      <c r="F87" s="12"/>
      <c r="G87" s="12" t="str">
        <f>COUNTIF(G88:G103,"Đạt")&amp;"/16 đạt"</f>
        <v>0/16 đạt</v>
      </c>
      <c r="H87" s="12"/>
    </row>
    <row r="88" spans="1:8" x14ac:dyDescent="0.3">
      <c r="A88" s="13" t="str">
        <f t="shared" ref="A88:A103" si="3">IF(G88="Đạt","☑",IF(G88="Lỗi","✗",IF(G88="Bỏ qua","–","☐")))</f>
        <v>☐</v>
      </c>
      <c r="B88" s="13">
        <v>80</v>
      </c>
      <c r="C88" s="13" t="s">
        <v>2</v>
      </c>
      <c r="D88" s="14" t="s">
        <v>239</v>
      </c>
      <c r="E88" s="14" t="s">
        <v>240</v>
      </c>
      <c r="F88" s="13" t="s">
        <v>241</v>
      </c>
      <c r="G88" s="13" t="str">
        <f>IFERROR(INDEX(Web!$G:$G,MATCH(F88,Web!#REF!,0)),"")</f>
        <v/>
      </c>
      <c r="H88" s="13" t="s">
        <v>51</v>
      </c>
    </row>
    <row r="89" spans="1:8" x14ac:dyDescent="0.3">
      <c r="A89" s="13" t="str">
        <f t="shared" si="3"/>
        <v>☐</v>
      </c>
      <c r="B89" s="13">
        <v>81</v>
      </c>
      <c r="C89" s="13" t="s">
        <v>2</v>
      </c>
      <c r="D89" s="14" t="s">
        <v>239</v>
      </c>
      <c r="E89" s="14" t="s">
        <v>242</v>
      </c>
      <c r="F89" s="13" t="s">
        <v>243</v>
      </c>
      <c r="G89" s="13" t="str">
        <f>IFERROR(INDEX(Web!$G:$G,MATCH(F89,Web!#REF!,0)),"")</f>
        <v/>
      </c>
      <c r="H89" s="13" t="s">
        <v>54</v>
      </c>
    </row>
    <row r="90" spans="1:8" x14ac:dyDescent="0.3">
      <c r="A90" s="13" t="str">
        <f t="shared" si="3"/>
        <v>☐</v>
      </c>
      <c r="B90" s="13">
        <v>82</v>
      </c>
      <c r="C90" s="13" t="s">
        <v>2</v>
      </c>
      <c r="D90" s="14" t="s">
        <v>244</v>
      </c>
      <c r="E90" s="14" t="s">
        <v>245</v>
      </c>
      <c r="F90" s="13" t="s">
        <v>246</v>
      </c>
      <c r="G90" s="13" t="str">
        <f>IFERROR(INDEX(Web!$G:$G,MATCH(F90,Web!#REF!,0)),"")</f>
        <v/>
      </c>
      <c r="H90" s="13" t="s">
        <v>51</v>
      </c>
    </row>
    <row r="91" spans="1:8" x14ac:dyDescent="0.3">
      <c r="A91" s="13" t="str">
        <f t="shared" si="3"/>
        <v>☐</v>
      </c>
      <c r="B91" s="13">
        <v>83</v>
      </c>
      <c r="C91" s="13" t="s">
        <v>2</v>
      </c>
      <c r="D91" s="14" t="s">
        <v>244</v>
      </c>
      <c r="E91" s="14" t="s">
        <v>247</v>
      </c>
      <c r="F91" s="13" t="s">
        <v>248</v>
      </c>
      <c r="G91" s="13" t="str">
        <f>IFERROR(INDEX(Web!$G:$G,MATCH(F91,Web!#REF!,0)),"")</f>
        <v/>
      </c>
      <c r="H91" s="13" t="s">
        <v>54</v>
      </c>
    </row>
    <row r="92" spans="1:8" x14ac:dyDescent="0.3">
      <c r="A92" s="13" t="str">
        <f t="shared" si="3"/>
        <v>☐</v>
      </c>
      <c r="B92" s="13">
        <v>84</v>
      </c>
      <c r="C92" s="13" t="s">
        <v>2</v>
      </c>
      <c r="D92" s="14" t="s">
        <v>244</v>
      </c>
      <c r="E92" s="14" t="s">
        <v>249</v>
      </c>
      <c r="F92" s="13" t="s">
        <v>250</v>
      </c>
      <c r="G92" s="13" t="str">
        <f>IFERROR(INDEX(Web!$G:$G,MATCH(F92,Web!#REF!,0)),"")</f>
        <v/>
      </c>
      <c r="H92" s="13" t="s">
        <v>54</v>
      </c>
    </row>
    <row r="93" spans="1:8" x14ac:dyDescent="0.3">
      <c r="A93" s="13" t="str">
        <f t="shared" si="3"/>
        <v>☐</v>
      </c>
      <c r="B93" s="13">
        <v>85</v>
      </c>
      <c r="C93" s="13" t="s">
        <v>2</v>
      </c>
      <c r="D93" s="14" t="s">
        <v>251</v>
      </c>
      <c r="E93" s="14" t="s">
        <v>252</v>
      </c>
      <c r="F93" s="13" t="s">
        <v>253</v>
      </c>
      <c r="G93" s="13" t="str">
        <f>IFERROR(INDEX(Web!$G:$G,MATCH(F93,Web!#REF!,0)),"")</f>
        <v/>
      </c>
      <c r="H93" s="13" t="s">
        <v>54</v>
      </c>
    </row>
    <row r="94" spans="1:8" x14ac:dyDescent="0.3">
      <c r="A94" s="13" t="str">
        <f t="shared" si="3"/>
        <v>☐</v>
      </c>
      <c r="B94" s="13">
        <v>86</v>
      </c>
      <c r="C94" s="13" t="s">
        <v>2</v>
      </c>
      <c r="D94" s="14" t="s">
        <v>254</v>
      </c>
      <c r="E94" s="14" t="s">
        <v>255</v>
      </c>
      <c r="F94" s="13" t="s">
        <v>256</v>
      </c>
      <c r="G94" s="13" t="str">
        <f>IFERROR(INDEX(Web!$G:$G,MATCH(F94,Web!#REF!,0)),"")</f>
        <v/>
      </c>
      <c r="H94" s="13" t="s">
        <v>54</v>
      </c>
    </row>
    <row r="95" spans="1:8" x14ac:dyDescent="0.3">
      <c r="A95" s="13" t="str">
        <f t="shared" si="3"/>
        <v>☐</v>
      </c>
      <c r="B95" s="13">
        <v>87</v>
      </c>
      <c r="C95" s="13" t="s">
        <v>2</v>
      </c>
      <c r="D95" s="14" t="s">
        <v>254</v>
      </c>
      <c r="E95" s="14" t="s">
        <v>257</v>
      </c>
      <c r="F95" s="13" t="s">
        <v>258</v>
      </c>
      <c r="G95" s="13" t="str">
        <f>IFERROR(INDEX(Web!$G:$G,MATCH(F95,Web!#REF!,0)),"")</f>
        <v/>
      </c>
      <c r="H95" s="13" t="s">
        <v>54</v>
      </c>
    </row>
    <row r="96" spans="1:8" x14ac:dyDescent="0.3">
      <c r="A96" s="13" t="str">
        <f t="shared" si="3"/>
        <v>☐</v>
      </c>
      <c r="B96" s="13">
        <v>88</v>
      </c>
      <c r="C96" s="13" t="s">
        <v>2</v>
      </c>
      <c r="D96" s="14" t="s">
        <v>259</v>
      </c>
      <c r="E96" s="14" t="s">
        <v>260</v>
      </c>
      <c r="F96" s="13" t="s">
        <v>261</v>
      </c>
      <c r="G96" s="13" t="str">
        <f>IFERROR(INDEX(Web!$G:$G,MATCH(F96,Web!#REF!,0)),"")</f>
        <v/>
      </c>
      <c r="H96" s="13" t="s">
        <v>99</v>
      </c>
    </row>
    <row r="97" spans="1:8" x14ac:dyDescent="0.3">
      <c r="A97" s="13" t="str">
        <f t="shared" si="3"/>
        <v>☐</v>
      </c>
      <c r="B97" s="13">
        <v>89</v>
      </c>
      <c r="C97" s="13" t="s">
        <v>2</v>
      </c>
      <c r="D97" s="14" t="s">
        <v>262</v>
      </c>
      <c r="E97" s="14" t="s">
        <v>263</v>
      </c>
      <c r="F97" s="13" t="s">
        <v>264</v>
      </c>
      <c r="G97" s="13" t="str">
        <f>IFERROR(INDEX(Web!$G:$G,MATCH(F97,Web!#REF!,0)),"")</f>
        <v/>
      </c>
      <c r="H97" s="13" t="s">
        <v>54</v>
      </c>
    </row>
    <row r="98" spans="1:8" x14ac:dyDescent="0.3">
      <c r="A98" s="13" t="str">
        <f t="shared" si="3"/>
        <v>☐</v>
      </c>
      <c r="B98" s="13">
        <v>90</v>
      </c>
      <c r="C98" s="13" t="s">
        <v>2</v>
      </c>
      <c r="D98" s="14" t="s">
        <v>213</v>
      </c>
      <c r="E98" s="14" t="s">
        <v>265</v>
      </c>
      <c r="F98" s="13" t="s">
        <v>266</v>
      </c>
      <c r="G98" s="13" t="str">
        <f>IFERROR(INDEX(Web!$G:$G,MATCH(F98,Web!#REF!,0)),"")</f>
        <v/>
      </c>
      <c r="H98" s="13" t="s">
        <v>51</v>
      </c>
    </row>
    <row r="99" spans="1:8" x14ac:dyDescent="0.3">
      <c r="A99" s="13" t="str">
        <f t="shared" si="3"/>
        <v>☐</v>
      </c>
      <c r="B99" s="13">
        <v>91</v>
      </c>
      <c r="C99" s="13" t="s">
        <v>2</v>
      </c>
      <c r="D99" s="14" t="s">
        <v>213</v>
      </c>
      <c r="E99" s="14" t="s">
        <v>267</v>
      </c>
      <c r="F99" s="13" t="s">
        <v>268</v>
      </c>
      <c r="G99" s="13" t="str">
        <f>IFERROR(INDEX(Web!$G:$G,MATCH(F99,Web!#REF!,0)),"")</f>
        <v/>
      </c>
      <c r="H99" s="13" t="s">
        <v>51</v>
      </c>
    </row>
    <row r="100" spans="1:8" x14ac:dyDescent="0.3">
      <c r="A100" s="13" t="str">
        <f t="shared" si="3"/>
        <v>☐</v>
      </c>
      <c r="B100" s="13">
        <v>92</v>
      </c>
      <c r="C100" s="13" t="s">
        <v>2</v>
      </c>
      <c r="D100" s="14" t="s">
        <v>269</v>
      </c>
      <c r="E100" s="14" t="s">
        <v>270</v>
      </c>
      <c r="F100" s="13" t="s">
        <v>271</v>
      </c>
      <c r="G100" s="13" t="str">
        <f>IFERROR(INDEX(Web!$G:$G,MATCH(F100,Web!#REF!,0)),"")</f>
        <v/>
      </c>
      <c r="H100" s="13" t="s">
        <v>54</v>
      </c>
    </row>
    <row r="101" spans="1:8" x14ac:dyDescent="0.3">
      <c r="A101" s="13" t="str">
        <f t="shared" si="3"/>
        <v>☐</v>
      </c>
      <c r="B101" s="13">
        <v>93</v>
      </c>
      <c r="C101" s="13" t="s">
        <v>2</v>
      </c>
      <c r="D101" s="14" t="s">
        <v>272</v>
      </c>
      <c r="E101" s="14" t="s">
        <v>273</v>
      </c>
      <c r="F101" s="13" t="s">
        <v>274</v>
      </c>
      <c r="G101" s="13" t="str">
        <f>IFERROR(INDEX(Web!$G:$G,MATCH(F101,Web!#REF!,0)),"")</f>
        <v/>
      </c>
      <c r="H101" s="13" t="s">
        <v>51</v>
      </c>
    </row>
    <row r="102" spans="1:8" x14ac:dyDescent="0.3">
      <c r="A102" s="13" t="str">
        <f t="shared" si="3"/>
        <v>☐</v>
      </c>
      <c r="B102" s="13">
        <v>94</v>
      </c>
      <c r="C102" s="13" t="s">
        <v>2</v>
      </c>
      <c r="D102" s="14" t="s">
        <v>275</v>
      </c>
      <c r="E102" s="14" t="s">
        <v>276</v>
      </c>
      <c r="F102" s="13" t="s">
        <v>277</v>
      </c>
      <c r="G102" s="13" t="str">
        <f>IFERROR(INDEX(Web!$G:$G,MATCH(F102,Web!#REF!,0)),"")</f>
        <v/>
      </c>
      <c r="H102" s="13" t="s">
        <v>54</v>
      </c>
    </row>
    <row r="103" spans="1:8" x14ac:dyDescent="0.3">
      <c r="A103" s="13" t="str">
        <f t="shared" si="3"/>
        <v>☐</v>
      </c>
      <c r="B103" s="13">
        <v>95</v>
      </c>
      <c r="C103" s="13" t="s">
        <v>2</v>
      </c>
      <c r="D103" s="14" t="s">
        <v>278</v>
      </c>
      <c r="E103" s="14" t="s">
        <v>279</v>
      </c>
      <c r="F103" s="13" t="s">
        <v>280</v>
      </c>
      <c r="G103" s="13" t="str">
        <f>IFERROR(INDEX(Web!$G:$G,MATCH(F103,Web!#REF!,0)),"")</f>
        <v/>
      </c>
      <c r="H103" s="13" t="s">
        <v>54</v>
      </c>
    </row>
    <row r="104" spans="1:8" x14ac:dyDescent="0.3">
      <c r="A104" s="12" t="s">
        <v>14</v>
      </c>
      <c r="B104" s="12"/>
      <c r="C104" s="12"/>
      <c r="D104" s="12"/>
      <c r="E104" s="12"/>
      <c r="F104" s="12"/>
      <c r="G104" s="12" t="str">
        <f>COUNTIF(G105:G140,"Đạt")&amp;"/36 đạt"</f>
        <v>0/36 đạt</v>
      </c>
      <c r="H104" s="12"/>
    </row>
    <row r="105" spans="1:8" x14ac:dyDescent="0.3">
      <c r="A105" s="13" t="str">
        <f t="shared" ref="A105:A140" si="4">IF(G105="Đạt","☑",IF(G105="Lỗi","✗",IF(G105="Bỏ qua","–","☐")))</f>
        <v>☐</v>
      </c>
      <c r="B105" s="13">
        <v>96</v>
      </c>
      <c r="C105" s="13" t="s">
        <v>2</v>
      </c>
      <c r="D105" s="14" t="s">
        <v>281</v>
      </c>
      <c r="E105" s="14" t="s">
        <v>282</v>
      </c>
      <c r="F105" s="13" t="s">
        <v>283</v>
      </c>
      <c r="G105" s="13" t="str">
        <f>IFERROR(INDEX(Web!$G:$G,MATCH(F105,Web!#REF!,0)),"")</f>
        <v/>
      </c>
      <c r="H105" s="13" t="s">
        <v>99</v>
      </c>
    </row>
    <row r="106" spans="1:8" x14ac:dyDescent="0.3">
      <c r="A106" s="13" t="str">
        <f t="shared" si="4"/>
        <v>☐</v>
      </c>
      <c r="B106" s="13">
        <v>97</v>
      </c>
      <c r="C106" s="13" t="s">
        <v>2</v>
      </c>
      <c r="D106" s="14" t="s">
        <v>284</v>
      </c>
      <c r="E106" s="14" t="s">
        <v>285</v>
      </c>
      <c r="F106" s="13" t="s">
        <v>286</v>
      </c>
      <c r="G106" s="13" t="str">
        <f>IFERROR(INDEX(Web!$G:$G,MATCH(F106,Web!#REF!,0)),"")</f>
        <v/>
      </c>
      <c r="H106" s="13" t="s">
        <v>51</v>
      </c>
    </row>
    <row r="107" spans="1:8" x14ac:dyDescent="0.3">
      <c r="A107" s="13" t="str">
        <f t="shared" si="4"/>
        <v>☐</v>
      </c>
      <c r="B107" s="13">
        <v>98</v>
      </c>
      <c r="C107" s="13" t="s">
        <v>2</v>
      </c>
      <c r="D107" s="14" t="s">
        <v>284</v>
      </c>
      <c r="E107" s="14" t="s">
        <v>287</v>
      </c>
      <c r="F107" s="13" t="s">
        <v>288</v>
      </c>
      <c r="G107" s="13" t="str">
        <f>IFERROR(INDEX(Web!$G:$G,MATCH(F107,Web!#REF!,0)),"")</f>
        <v/>
      </c>
      <c r="H107" s="13" t="s">
        <v>51</v>
      </c>
    </row>
    <row r="108" spans="1:8" x14ac:dyDescent="0.3">
      <c r="A108" s="13" t="str">
        <f t="shared" si="4"/>
        <v>☐</v>
      </c>
      <c r="B108" s="13">
        <v>99</v>
      </c>
      <c r="C108" s="13" t="s">
        <v>2</v>
      </c>
      <c r="D108" s="14" t="s">
        <v>284</v>
      </c>
      <c r="E108" s="14" t="s">
        <v>289</v>
      </c>
      <c r="F108" s="13" t="s">
        <v>290</v>
      </c>
      <c r="G108" s="13" t="str">
        <f>IFERROR(INDEX(Web!$G:$G,MATCH(F108,Web!#REF!,0)),"")</f>
        <v/>
      </c>
      <c r="H108" s="13" t="s">
        <v>51</v>
      </c>
    </row>
    <row r="109" spans="1:8" x14ac:dyDescent="0.3">
      <c r="A109" s="13" t="str">
        <f t="shared" si="4"/>
        <v>☐</v>
      </c>
      <c r="B109" s="13">
        <v>100</v>
      </c>
      <c r="C109" s="13" t="s">
        <v>2</v>
      </c>
      <c r="D109" s="14" t="s">
        <v>284</v>
      </c>
      <c r="E109" s="14" t="s">
        <v>291</v>
      </c>
      <c r="F109" s="13" t="s">
        <v>292</v>
      </c>
      <c r="G109" s="13" t="str">
        <f>IFERROR(INDEX(Web!$G:$G,MATCH(F109,Web!#REF!,0)),"")</f>
        <v/>
      </c>
      <c r="H109" s="13" t="s">
        <v>54</v>
      </c>
    </row>
    <row r="110" spans="1:8" x14ac:dyDescent="0.3">
      <c r="A110" s="13" t="str">
        <f t="shared" si="4"/>
        <v>☐</v>
      </c>
      <c r="B110" s="13">
        <v>101</v>
      </c>
      <c r="C110" s="13" t="s">
        <v>2</v>
      </c>
      <c r="D110" s="14" t="s">
        <v>284</v>
      </c>
      <c r="E110" s="14" t="s">
        <v>293</v>
      </c>
      <c r="F110" s="13" t="s">
        <v>294</v>
      </c>
      <c r="G110" s="13" t="str">
        <f>IFERROR(INDEX(Web!$G:$G,MATCH(F110,Web!#REF!,0)),"")</f>
        <v/>
      </c>
      <c r="H110" s="13" t="s">
        <v>51</v>
      </c>
    </row>
    <row r="111" spans="1:8" x14ac:dyDescent="0.3">
      <c r="A111" s="13" t="str">
        <f t="shared" si="4"/>
        <v>☐</v>
      </c>
      <c r="B111" s="13">
        <v>102</v>
      </c>
      <c r="C111" s="13" t="s">
        <v>2</v>
      </c>
      <c r="D111" s="14" t="s">
        <v>284</v>
      </c>
      <c r="E111" s="14" t="s">
        <v>295</v>
      </c>
      <c r="F111" s="13" t="s">
        <v>296</v>
      </c>
      <c r="G111" s="13" t="str">
        <f>IFERROR(INDEX(Web!$G:$G,MATCH(F111,Web!#REF!,0)),"")</f>
        <v/>
      </c>
      <c r="H111" s="13" t="s">
        <v>51</v>
      </c>
    </row>
    <row r="112" spans="1:8" x14ac:dyDescent="0.3">
      <c r="A112" s="13" t="str">
        <f t="shared" si="4"/>
        <v>☐</v>
      </c>
      <c r="B112" s="13">
        <v>103</v>
      </c>
      <c r="C112" s="13" t="s">
        <v>2</v>
      </c>
      <c r="D112" s="14" t="s">
        <v>284</v>
      </c>
      <c r="E112" s="14" t="s">
        <v>297</v>
      </c>
      <c r="F112" s="13" t="s">
        <v>298</v>
      </c>
      <c r="G112" s="13" t="str">
        <f>IFERROR(INDEX(Web!$G:$G,MATCH(F112,Web!#REF!,0)),"")</f>
        <v/>
      </c>
      <c r="H112" s="13" t="s">
        <v>51</v>
      </c>
    </row>
    <row r="113" spans="1:8" x14ac:dyDescent="0.3">
      <c r="A113" s="13" t="str">
        <f t="shared" si="4"/>
        <v>☐</v>
      </c>
      <c r="B113" s="13">
        <v>104</v>
      </c>
      <c r="C113" s="13" t="s">
        <v>2</v>
      </c>
      <c r="D113" s="14" t="s">
        <v>284</v>
      </c>
      <c r="E113" s="14" t="s">
        <v>299</v>
      </c>
      <c r="F113" s="13" t="s">
        <v>300</v>
      </c>
      <c r="G113" s="13" t="str">
        <f>IFERROR(INDEX(Web!$G:$G,MATCH(F113,Web!#REF!,0)),"")</f>
        <v/>
      </c>
      <c r="H113" s="13" t="s">
        <v>54</v>
      </c>
    </row>
    <row r="114" spans="1:8" x14ac:dyDescent="0.3">
      <c r="A114" s="13" t="str">
        <f t="shared" si="4"/>
        <v>☐</v>
      </c>
      <c r="B114" s="13">
        <v>105</v>
      </c>
      <c r="C114" s="13" t="s">
        <v>2</v>
      </c>
      <c r="D114" s="14" t="s">
        <v>284</v>
      </c>
      <c r="E114" s="14" t="s">
        <v>301</v>
      </c>
      <c r="F114" s="13" t="s">
        <v>302</v>
      </c>
      <c r="G114" s="13" t="str">
        <f>IFERROR(INDEX(Web!$G:$G,MATCH(F114,Web!#REF!,0)),"")</f>
        <v/>
      </c>
      <c r="H114" s="13" t="s">
        <v>51</v>
      </c>
    </row>
    <row r="115" spans="1:8" x14ac:dyDescent="0.3">
      <c r="A115" s="13" t="str">
        <f t="shared" si="4"/>
        <v>☐</v>
      </c>
      <c r="B115" s="13">
        <v>106</v>
      </c>
      <c r="C115" s="13" t="s">
        <v>2</v>
      </c>
      <c r="D115" s="14" t="s">
        <v>284</v>
      </c>
      <c r="E115" s="14" t="s">
        <v>303</v>
      </c>
      <c r="F115" s="13" t="s">
        <v>304</v>
      </c>
      <c r="G115" s="13" t="str">
        <f>IFERROR(INDEX(Web!$G:$G,MATCH(F115,Web!#REF!,0)),"")</f>
        <v/>
      </c>
      <c r="H115" s="13" t="s">
        <v>51</v>
      </c>
    </row>
    <row r="116" spans="1:8" x14ac:dyDescent="0.3">
      <c r="A116" s="13" t="str">
        <f t="shared" si="4"/>
        <v>☐</v>
      </c>
      <c r="B116" s="13">
        <v>107</v>
      </c>
      <c r="C116" s="13" t="s">
        <v>2</v>
      </c>
      <c r="D116" s="14" t="s">
        <v>284</v>
      </c>
      <c r="E116" s="14" t="s">
        <v>305</v>
      </c>
      <c r="F116" s="13" t="s">
        <v>306</v>
      </c>
      <c r="G116" s="13" t="str">
        <f>IFERROR(INDEX(Web!$G:$G,MATCH(F116,Web!#REF!,0)),"")</f>
        <v/>
      </c>
      <c r="H116" s="13" t="s">
        <v>54</v>
      </c>
    </row>
    <row r="117" spans="1:8" x14ac:dyDescent="0.3">
      <c r="A117" s="13" t="str">
        <f t="shared" si="4"/>
        <v>☐</v>
      </c>
      <c r="B117" s="13">
        <v>108</v>
      </c>
      <c r="C117" s="13" t="s">
        <v>2</v>
      </c>
      <c r="D117" s="14" t="s">
        <v>284</v>
      </c>
      <c r="E117" s="14" t="s">
        <v>307</v>
      </c>
      <c r="F117" s="13" t="s">
        <v>308</v>
      </c>
      <c r="G117" s="13" t="str">
        <f>IFERROR(INDEX(Web!$G:$G,MATCH(F117,Web!#REF!,0)),"")</f>
        <v/>
      </c>
      <c r="H117" s="13" t="s">
        <v>54</v>
      </c>
    </row>
    <row r="118" spans="1:8" x14ac:dyDescent="0.3">
      <c r="A118" s="13" t="str">
        <f t="shared" si="4"/>
        <v>☐</v>
      </c>
      <c r="B118" s="13">
        <v>109</v>
      </c>
      <c r="C118" s="13" t="s">
        <v>2</v>
      </c>
      <c r="D118" s="14" t="s">
        <v>309</v>
      </c>
      <c r="E118" s="14" t="s">
        <v>310</v>
      </c>
      <c r="F118" s="13" t="s">
        <v>311</v>
      </c>
      <c r="G118" s="13" t="str">
        <f>IFERROR(INDEX(Web!$G:$G,MATCH(F118,Web!#REF!,0)),"")</f>
        <v/>
      </c>
      <c r="H118" s="13" t="s">
        <v>51</v>
      </c>
    </row>
    <row r="119" spans="1:8" x14ac:dyDescent="0.3">
      <c r="A119" s="13" t="str">
        <f t="shared" si="4"/>
        <v>☐</v>
      </c>
      <c r="B119" s="13">
        <v>110</v>
      </c>
      <c r="C119" s="13" t="s">
        <v>2</v>
      </c>
      <c r="D119" s="14" t="s">
        <v>309</v>
      </c>
      <c r="E119" s="14" t="s">
        <v>312</v>
      </c>
      <c r="F119" s="13" t="s">
        <v>313</v>
      </c>
      <c r="G119" s="13" t="str">
        <f>IFERROR(INDEX(Web!$G:$G,MATCH(F119,Web!#REF!,0)),"")</f>
        <v/>
      </c>
      <c r="H119" s="13" t="s">
        <v>51</v>
      </c>
    </row>
    <row r="120" spans="1:8" x14ac:dyDescent="0.3">
      <c r="A120" s="13" t="str">
        <f t="shared" si="4"/>
        <v>☐</v>
      </c>
      <c r="B120" s="13">
        <v>111</v>
      </c>
      <c r="C120" s="13" t="s">
        <v>2</v>
      </c>
      <c r="D120" s="14" t="s">
        <v>314</v>
      </c>
      <c r="E120" s="14" t="s">
        <v>315</v>
      </c>
      <c r="F120" s="13" t="s">
        <v>316</v>
      </c>
      <c r="G120" s="13" t="str">
        <f>IFERROR(INDEX(Web!$G:$G,MATCH(F120,Web!#REF!,0)),"")</f>
        <v/>
      </c>
      <c r="H120" s="13" t="s">
        <v>51</v>
      </c>
    </row>
    <row r="121" spans="1:8" x14ac:dyDescent="0.3">
      <c r="A121" s="13" t="str">
        <f t="shared" si="4"/>
        <v>☐</v>
      </c>
      <c r="B121" s="13">
        <v>112</v>
      </c>
      <c r="C121" s="13" t="s">
        <v>2</v>
      </c>
      <c r="D121" s="14" t="s">
        <v>317</v>
      </c>
      <c r="E121" s="14" t="s">
        <v>318</v>
      </c>
      <c r="F121" s="13" t="s">
        <v>319</v>
      </c>
      <c r="G121" s="13" t="str">
        <f>IFERROR(INDEX(Web!$G:$G,MATCH(F121,Web!#REF!,0)),"")</f>
        <v/>
      </c>
      <c r="H121" s="13" t="s">
        <v>51</v>
      </c>
    </row>
    <row r="122" spans="1:8" x14ac:dyDescent="0.3">
      <c r="A122" s="13" t="str">
        <f t="shared" si="4"/>
        <v>☐</v>
      </c>
      <c r="B122" s="13">
        <v>113</v>
      </c>
      <c r="C122" s="13" t="s">
        <v>2</v>
      </c>
      <c r="D122" s="14" t="s">
        <v>320</v>
      </c>
      <c r="E122" s="14" t="s">
        <v>321</v>
      </c>
      <c r="F122" s="13" t="s">
        <v>322</v>
      </c>
      <c r="G122" s="13" t="str">
        <f>IFERROR(INDEX(Web!$G:$G,MATCH(F122,Web!#REF!,0)),"")</f>
        <v/>
      </c>
      <c r="H122" s="13" t="s">
        <v>54</v>
      </c>
    </row>
    <row r="123" spans="1:8" x14ac:dyDescent="0.3">
      <c r="A123" s="13" t="str">
        <f t="shared" si="4"/>
        <v>☐</v>
      </c>
      <c r="B123" s="13">
        <v>114</v>
      </c>
      <c r="C123" s="13" t="s">
        <v>2</v>
      </c>
      <c r="D123" s="14" t="s">
        <v>323</v>
      </c>
      <c r="E123" s="14" t="s">
        <v>324</v>
      </c>
      <c r="F123" s="13" t="s">
        <v>325</v>
      </c>
      <c r="G123" s="13" t="str">
        <f>IFERROR(INDEX(Web!$G:$G,MATCH(F123,Web!#REF!,0)),"")</f>
        <v/>
      </c>
      <c r="H123" s="13" t="s">
        <v>99</v>
      </c>
    </row>
    <row r="124" spans="1:8" x14ac:dyDescent="0.3">
      <c r="A124" s="13" t="str">
        <f t="shared" si="4"/>
        <v>☐</v>
      </c>
      <c r="B124" s="13">
        <v>115</v>
      </c>
      <c r="C124" s="13" t="s">
        <v>24</v>
      </c>
      <c r="D124" s="14" t="s">
        <v>326</v>
      </c>
      <c r="E124" s="14" t="s">
        <v>327</v>
      </c>
      <c r="F124" s="13" t="s">
        <v>328</v>
      </c>
      <c r="G124" s="13" t="str">
        <f>IFERROR(INDEX(App!$L:$L,MATCH(F124,App!$A:$A,0)),"")</f>
        <v>Chưa test</v>
      </c>
      <c r="H124" s="13" t="s">
        <v>51</v>
      </c>
    </row>
    <row r="125" spans="1:8" x14ac:dyDescent="0.3">
      <c r="A125" s="13" t="str">
        <f t="shared" si="4"/>
        <v>☐</v>
      </c>
      <c r="B125" s="13">
        <v>116</v>
      </c>
      <c r="C125" s="13" t="s">
        <v>24</v>
      </c>
      <c r="D125" s="14" t="s">
        <v>326</v>
      </c>
      <c r="E125" s="14" t="s">
        <v>329</v>
      </c>
      <c r="F125" s="13" t="s">
        <v>330</v>
      </c>
      <c r="G125" s="13" t="str">
        <f>IFERROR(INDEX(App!$L:$L,MATCH(F125,App!$A:$A,0)),"")</f>
        <v>Chưa test</v>
      </c>
      <c r="H125" s="13" t="s">
        <v>54</v>
      </c>
    </row>
    <row r="126" spans="1:8" x14ac:dyDescent="0.3">
      <c r="A126" s="13" t="str">
        <f t="shared" si="4"/>
        <v>☐</v>
      </c>
      <c r="B126" s="13">
        <v>117</v>
      </c>
      <c r="C126" s="13" t="s">
        <v>24</v>
      </c>
      <c r="D126" s="14" t="s">
        <v>331</v>
      </c>
      <c r="E126" s="14" t="s">
        <v>332</v>
      </c>
      <c r="F126" s="13" t="s">
        <v>333</v>
      </c>
      <c r="G126" s="13" t="str">
        <f>IFERROR(INDEX(App!$L:$L,MATCH(F126,App!$A:$A,0)),"")</f>
        <v>Chưa test</v>
      </c>
      <c r="H126" s="13" t="s">
        <v>51</v>
      </c>
    </row>
    <row r="127" spans="1:8" x14ac:dyDescent="0.3">
      <c r="A127" s="13" t="str">
        <f t="shared" si="4"/>
        <v>☐</v>
      </c>
      <c r="B127" s="13">
        <v>118</v>
      </c>
      <c r="C127" s="13" t="s">
        <v>24</v>
      </c>
      <c r="D127" s="14" t="s">
        <v>331</v>
      </c>
      <c r="E127" s="14" t="s">
        <v>334</v>
      </c>
      <c r="F127" s="13" t="s">
        <v>335</v>
      </c>
      <c r="G127" s="13" t="str">
        <f>IFERROR(INDEX(App!$L:$L,MATCH(F127,App!$A:$A,0)),"")</f>
        <v>Chưa test</v>
      </c>
      <c r="H127" s="13" t="s">
        <v>51</v>
      </c>
    </row>
    <row r="128" spans="1:8" x14ac:dyDescent="0.3">
      <c r="A128" s="13" t="str">
        <f t="shared" si="4"/>
        <v>☐</v>
      </c>
      <c r="B128" s="13">
        <v>119</v>
      </c>
      <c r="C128" s="13" t="s">
        <v>24</v>
      </c>
      <c r="D128" s="14" t="s">
        <v>331</v>
      </c>
      <c r="E128" s="14" t="s">
        <v>336</v>
      </c>
      <c r="F128" s="13" t="s">
        <v>337</v>
      </c>
      <c r="G128" s="13" t="str">
        <f>IFERROR(INDEX(App!$L:$L,MATCH(F128,App!$A:$A,0)),"")</f>
        <v>Chưa test</v>
      </c>
      <c r="H128" s="13" t="s">
        <v>54</v>
      </c>
    </row>
    <row r="129" spans="1:8" x14ac:dyDescent="0.3">
      <c r="A129" s="13" t="str">
        <f t="shared" si="4"/>
        <v>☐</v>
      </c>
      <c r="B129" s="13">
        <v>120</v>
      </c>
      <c r="C129" s="13" t="s">
        <v>24</v>
      </c>
      <c r="D129" s="14" t="s">
        <v>331</v>
      </c>
      <c r="E129" s="14" t="s">
        <v>338</v>
      </c>
      <c r="F129" s="13" t="s">
        <v>339</v>
      </c>
      <c r="G129" s="13" t="str">
        <f>IFERROR(INDEX(App!$L:$L,MATCH(F129,App!$A:$A,0)),"")</f>
        <v>Chưa test</v>
      </c>
      <c r="H129" s="13" t="s">
        <v>54</v>
      </c>
    </row>
    <row r="130" spans="1:8" x14ac:dyDescent="0.3">
      <c r="A130" s="13" t="str">
        <f t="shared" si="4"/>
        <v>☐</v>
      </c>
      <c r="B130" s="13">
        <v>121</v>
      </c>
      <c r="C130" s="13" t="s">
        <v>24</v>
      </c>
      <c r="D130" s="14" t="s">
        <v>340</v>
      </c>
      <c r="E130" s="14" t="s">
        <v>287</v>
      </c>
      <c r="F130" s="13" t="s">
        <v>341</v>
      </c>
      <c r="G130" s="13" t="str">
        <f>IFERROR(INDEX(App!$L:$L,MATCH(F130,App!$A:$A,0)),"")</f>
        <v>Chưa test</v>
      </c>
      <c r="H130" s="13" t="s">
        <v>51</v>
      </c>
    </row>
    <row r="131" spans="1:8" x14ac:dyDescent="0.3">
      <c r="A131" s="13" t="str">
        <f t="shared" si="4"/>
        <v>☐</v>
      </c>
      <c r="B131" s="13">
        <v>122</v>
      </c>
      <c r="C131" s="13" t="s">
        <v>24</v>
      </c>
      <c r="D131" s="14" t="s">
        <v>340</v>
      </c>
      <c r="E131" s="14" t="s">
        <v>342</v>
      </c>
      <c r="F131" s="13" t="s">
        <v>343</v>
      </c>
      <c r="G131" s="13" t="str">
        <f>IFERROR(INDEX(App!$L:$L,MATCH(F131,App!$A:$A,0)),"")</f>
        <v>Chưa test</v>
      </c>
      <c r="H131" s="13" t="s">
        <v>51</v>
      </c>
    </row>
    <row r="132" spans="1:8" x14ac:dyDescent="0.3">
      <c r="A132" s="13" t="str">
        <f t="shared" si="4"/>
        <v>☐</v>
      </c>
      <c r="B132" s="13">
        <v>123</v>
      </c>
      <c r="C132" s="13" t="s">
        <v>24</v>
      </c>
      <c r="D132" s="14" t="s">
        <v>340</v>
      </c>
      <c r="E132" s="14" t="s">
        <v>344</v>
      </c>
      <c r="F132" s="13" t="s">
        <v>345</v>
      </c>
      <c r="G132" s="13" t="str">
        <f>IFERROR(INDEX(App!$L:$L,MATCH(F132,App!$A:$A,0)),"")</f>
        <v>Chưa test</v>
      </c>
      <c r="H132" s="13" t="s">
        <v>51</v>
      </c>
    </row>
    <row r="133" spans="1:8" x14ac:dyDescent="0.3">
      <c r="A133" s="13" t="str">
        <f t="shared" si="4"/>
        <v>☐</v>
      </c>
      <c r="B133" s="13">
        <v>124</v>
      </c>
      <c r="C133" s="13" t="s">
        <v>24</v>
      </c>
      <c r="D133" s="14" t="s">
        <v>340</v>
      </c>
      <c r="E133" s="14" t="s">
        <v>293</v>
      </c>
      <c r="F133" s="13" t="s">
        <v>346</v>
      </c>
      <c r="G133" s="13" t="str">
        <f>IFERROR(INDEX(App!$L:$L,MATCH(F133,App!$A:$A,0)),"")</f>
        <v>Chưa test</v>
      </c>
      <c r="H133" s="13" t="s">
        <v>54</v>
      </c>
    </row>
    <row r="134" spans="1:8" x14ac:dyDescent="0.3">
      <c r="A134" s="13" t="str">
        <f t="shared" si="4"/>
        <v>☐</v>
      </c>
      <c r="B134" s="13">
        <v>125</v>
      </c>
      <c r="C134" s="13" t="s">
        <v>24</v>
      </c>
      <c r="D134" s="14" t="s">
        <v>340</v>
      </c>
      <c r="E134" s="14" t="s">
        <v>347</v>
      </c>
      <c r="F134" s="13" t="s">
        <v>348</v>
      </c>
      <c r="G134" s="13" t="str">
        <f>IFERROR(INDEX(App!$L:$L,MATCH(F134,App!$A:$A,0)),"")</f>
        <v>Chưa test</v>
      </c>
      <c r="H134" s="13" t="s">
        <v>54</v>
      </c>
    </row>
    <row r="135" spans="1:8" x14ac:dyDescent="0.3">
      <c r="A135" s="13" t="str">
        <f t="shared" si="4"/>
        <v>☐</v>
      </c>
      <c r="B135" s="13">
        <v>126</v>
      </c>
      <c r="C135" s="13" t="s">
        <v>24</v>
      </c>
      <c r="D135" s="14" t="s">
        <v>340</v>
      </c>
      <c r="E135" s="14" t="s">
        <v>297</v>
      </c>
      <c r="F135" s="13" t="s">
        <v>349</v>
      </c>
      <c r="G135" s="13" t="str">
        <f>IFERROR(INDEX(App!$L:$L,MATCH(F135,App!$A:$A,0)),"")</f>
        <v>Chưa test</v>
      </c>
      <c r="H135" s="13" t="s">
        <v>54</v>
      </c>
    </row>
    <row r="136" spans="1:8" x14ac:dyDescent="0.3">
      <c r="A136" s="13" t="str">
        <f t="shared" si="4"/>
        <v>☐</v>
      </c>
      <c r="B136" s="13">
        <v>127</v>
      </c>
      <c r="C136" s="13" t="s">
        <v>24</v>
      </c>
      <c r="D136" s="14" t="s">
        <v>340</v>
      </c>
      <c r="E136" s="14" t="s">
        <v>299</v>
      </c>
      <c r="F136" s="13" t="s">
        <v>350</v>
      </c>
      <c r="G136" s="13" t="str">
        <f>IFERROR(INDEX(App!$L:$L,MATCH(F136,App!$A:$A,0)),"")</f>
        <v>Chưa test</v>
      </c>
      <c r="H136" s="13" t="s">
        <v>54</v>
      </c>
    </row>
    <row r="137" spans="1:8" x14ac:dyDescent="0.3">
      <c r="A137" s="13" t="str">
        <f t="shared" si="4"/>
        <v>☐</v>
      </c>
      <c r="B137" s="13">
        <v>128</v>
      </c>
      <c r="C137" s="13" t="s">
        <v>24</v>
      </c>
      <c r="D137" s="14" t="s">
        <v>340</v>
      </c>
      <c r="E137" s="14" t="s">
        <v>351</v>
      </c>
      <c r="F137" s="13" t="s">
        <v>352</v>
      </c>
      <c r="G137" s="13" t="str">
        <f>IFERROR(INDEX(App!$L:$L,MATCH(F137,App!$A:$A,0)),"")</f>
        <v>Chưa test</v>
      </c>
      <c r="H137" s="13" t="s">
        <v>51</v>
      </c>
    </row>
    <row r="138" spans="1:8" x14ac:dyDescent="0.3">
      <c r="A138" s="13" t="str">
        <f t="shared" si="4"/>
        <v>☐</v>
      </c>
      <c r="B138" s="13">
        <v>129</v>
      </c>
      <c r="C138" s="13" t="s">
        <v>24</v>
      </c>
      <c r="D138" s="14" t="s">
        <v>353</v>
      </c>
      <c r="E138" s="14" t="s">
        <v>354</v>
      </c>
      <c r="F138" s="13" t="s">
        <v>355</v>
      </c>
      <c r="G138" s="13" t="str">
        <f>IFERROR(INDEX(App!$L:$L,MATCH(F138,App!$A:$A,0)),"")</f>
        <v>Chưa test</v>
      </c>
      <c r="H138" s="13" t="s">
        <v>51</v>
      </c>
    </row>
    <row r="139" spans="1:8" x14ac:dyDescent="0.3">
      <c r="A139" s="13" t="str">
        <f t="shared" si="4"/>
        <v>☐</v>
      </c>
      <c r="B139" s="13">
        <v>130</v>
      </c>
      <c r="C139" s="13" t="s">
        <v>24</v>
      </c>
      <c r="D139" s="14" t="s">
        <v>353</v>
      </c>
      <c r="E139" s="14" t="s">
        <v>356</v>
      </c>
      <c r="F139" s="13" t="s">
        <v>357</v>
      </c>
      <c r="G139" s="13" t="str">
        <f>IFERROR(INDEX(App!$L:$L,MATCH(F139,App!$A:$A,0)),"")</f>
        <v>Chưa test</v>
      </c>
      <c r="H139" s="13" t="s">
        <v>54</v>
      </c>
    </row>
    <row r="140" spans="1:8" x14ac:dyDescent="0.3">
      <c r="A140" s="13" t="str">
        <f t="shared" si="4"/>
        <v>☐</v>
      </c>
      <c r="B140" s="13">
        <v>131</v>
      </c>
      <c r="C140" s="13" t="s">
        <v>24</v>
      </c>
      <c r="D140" s="14" t="s">
        <v>358</v>
      </c>
      <c r="E140" s="14" t="s">
        <v>359</v>
      </c>
      <c r="F140" s="13" t="s">
        <v>360</v>
      </c>
      <c r="G140" s="13" t="str">
        <f>IFERROR(INDEX(App!$L:$L,MATCH(F140,App!$A:$A,0)),"")</f>
        <v>Chưa test</v>
      </c>
      <c r="H140" s="13" t="s">
        <v>99</v>
      </c>
    </row>
    <row r="141" spans="1:8" x14ac:dyDescent="0.3">
      <c r="A141" s="12" t="s">
        <v>15</v>
      </c>
      <c r="B141" s="12"/>
      <c r="C141" s="12"/>
      <c r="D141" s="12"/>
      <c r="E141" s="12"/>
      <c r="F141" s="12"/>
      <c r="G141" s="12" t="str">
        <f>COUNTIF(G142:G154,"Đạt")&amp;"/13 đạt"</f>
        <v>0/13 đạt</v>
      </c>
      <c r="H141" s="12"/>
    </row>
    <row r="142" spans="1:8" x14ac:dyDescent="0.3">
      <c r="A142" s="13" t="str">
        <f t="shared" ref="A142:A154" si="5">IF(G142="Đạt","☑",IF(G142="Lỗi","✗",IF(G142="Bỏ qua","–","☐")))</f>
        <v>☐</v>
      </c>
      <c r="B142" s="13">
        <v>132</v>
      </c>
      <c r="C142" s="13" t="s">
        <v>2</v>
      </c>
      <c r="D142" s="14" t="s">
        <v>281</v>
      </c>
      <c r="E142" s="14" t="s">
        <v>361</v>
      </c>
      <c r="F142" s="13" t="s">
        <v>362</v>
      </c>
      <c r="G142" s="13" t="str">
        <f>IFERROR(INDEX(Web!$G:$G,MATCH(F142,Web!#REF!,0)),"")</f>
        <v/>
      </c>
      <c r="H142" s="13" t="s">
        <v>99</v>
      </c>
    </row>
    <row r="143" spans="1:8" x14ac:dyDescent="0.3">
      <c r="A143" s="13" t="str">
        <f t="shared" si="5"/>
        <v>☐</v>
      </c>
      <c r="B143" s="13">
        <v>133</v>
      </c>
      <c r="C143" s="13" t="s">
        <v>2</v>
      </c>
      <c r="D143" s="14" t="s">
        <v>363</v>
      </c>
      <c r="E143" s="14" t="s">
        <v>364</v>
      </c>
      <c r="F143" s="13" t="s">
        <v>365</v>
      </c>
      <c r="G143" s="13" t="str">
        <f>IFERROR(INDEX(Web!$G:$G,MATCH(F143,Web!#REF!,0)),"")</f>
        <v/>
      </c>
      <c r="H143" s="13" t="s">
        <v>51</v>
      </c>
    </row>
    <row r="144" spans="1:8" x14ac:dyDescent="0.3">
      <c r="A144" s="13" t="str">
        <f t="shared" si="5"/>
        <v>☐</v>
      </c>
      <c r="B144" s="13">
        <v>134</v>
      </c>
      <c r="C144" s="13" t="s">
        <v>2</v>
      </c>
      <c r="D144" s="14" t="s">
        <v>363</v>
      </c>
      <c r="E144" s="14" t="s">
        <v>366</v>
      </c>
      <c r="F144" s="13" t="s">
        <v>367</v>
      </c>
      <c r="G144" s="13" t="str">
        <f>IFERROR(INDEX(Web!$G:$G,MATCH(F144,Web!#REF!,0)),"")</f>
        <v/>
      </c>
      <c r="H144" s="13" t="s">
        <v>51</v>
      </c>
    </row>
    <row r="145" spans="1:8" x14ac:dyDescent="0.3">
      <c r="A145" s="13" t="str">
        <f t="shared" si="5"/>
        <v>☐</v>
      </c>
      <c r="B145" s="13">
        <v>135</v>
      </c>
      <c r="C145" s="13" t="s">
        <v>2</v>
      </c>
      <c r="D145" s="14" t="s">
        <v>363</v>
      </c>
      <c r="E145" s="14" t="s">
        <v>368</v>
      </c>
      <c r="F145" s="13" t="s">
        <v>369</v>
      </c>
      <c r="G145" s="13" t="str">
        <f>IFERROR(INDEX(Web!$G:$G,MATCH(F145,Web!#REF!,0)),"")</f>
        <v/>
      </c>
      <c r="H145" s="13" t="s">
        <v>51</v>
      </c>
    </row>
    <row r="146" spans="1:8" x14ac:dyDescent="0.3">
      <c r="A146" s="13" t="str">
        <f t="shared" si="5"/>
        <v>☐</v>
      </c>
      <c r="B146" s="13">
        <v>136</v>
      </c>
      <c r="C146" s="13" t="s">
        <v>2</v>
      </c>
      <c r="D146" s="14" t="s">
        <v>363</v>
      </c>
      <c r="E146" s="14" t="s">
        <v>370</v>
      </c>
      <c r="F146" s="13" t="s">
        <v>371</v>
      </c>
      <c r="G146" s="13" t="str">
        <f>IFERROR(INDEX(Web!$G:$G,MATCH(F146,Web!#REF!,0)),"")</f>
        <v/>
      </c>
      <c r="H146" s="13" t="s">
        <v>51</v>
      </c>
    </row>
    <row r="147" spans="1:8" x14ac:dyDescent="0.3">
      <c r="A147" s="13" t="str">
        <f t="shared" si="5"/>
        <v>☐</v>
      </c>
      <c r="B147" s="13">
        <v>137</v>
      </c>
      <c r="C147" s="13" t="s">
        <v>2</v>
      </c>
      <c r="D147" s="14" t="s">
        <v>372</v>
      </c>
      <c r="E147" s="14" t="s">
        <v>373</v>
      </c>
      <c r="F147" s="13" t="s">
        <v>374</v>
      </c>
      <c r="G147" s="13" t="str">
        <f>IFERROR(INDEX(Web!$G:$G,MATCH(F147,Web!#REF!,0)),"")</f>
        <v/>
      </c>
      <c r="H147" s="13" t="s">
        <v>54</v>
      </c>
    </row>
    <row r="148" spans="1:8" x14ac:dyDescent="0.3">
      <c r="A148" s="13" t="str">
        <f t="shared" si="5"/>
        <v>☐</v>
      </c>
      <c r="B148" s="13">
        <v>138</v>
      </c>
      <c r="C148" s="13" t="s">
        <v>2</v>
      </c>
      <c r="D148" s="14" t="s">
        <v>375</v>
      </c>
      <c r="E148" s="14" t="s">
        <v>376</v>
      </c>
      <c r="F148" s="13" t="s">
        <v>377</v>
      </c>
      <c r="G148" s="13" t="str">
        <f>IFERROR(INDEX(Web!$G:$G,MATCH(F148,Web!#REF!,0)),"")</f>
        <v/>
      </c>
      <c r="H148" s="13" t="s">
        <v>54</v>
      </c>
    </row>
    <row r="149" spans="1:8" x14ac:dyDescent="0.3">
      <c r="A149" s="13" t="str">
        <f t="shared" si="5"/>
        <v>☐</v>
      </c>
      <c r="B149" s="13">
        <v>139</v>
      </c>
      <c r="C149" s="13" t="s">
        <v>2</v>
      </c>
      <c r="D149" s="14" t="s">
        <v>378</v>
      </c>
      <c r="E149" s="14" t="s">
        <v>379</v>
      </c>
      <c r="F149" s="13" t="s">
        <v>380</v>
      </c>
      <c r="G149" s="13" t="str">
        <f>IFERROR(INDEX(Web!$G:$G,MATCH(F149,Web!#REF!,0)),"")</f>
        <v/>
      </c>
      <c r="H149" s="13" t="s">
        <v>54</v>
      </c>
    </row>
    <row r="150" spans="1:8" x14ac:dyDescent="0.3">
      <c r="A150" s="13" t="str">
        <f t="shared" si="5"/>
        <v>☐</v>
      </c>
      <c r="B150" s="13">
        <v>140</v>
      </c>
      <c r="C150" s="13" t="s">
        <v>2</v>
      </c>
      <c r="D150" s="14" t="s">
        <v>381</v>
      </c>
      <c r="E150" s="14" t="s">
        <v>382</v>
      </c>
      <c r="F150" s="13" t="s">
        <v>383</v>
      </c>
      <c r="G150" s="13" t="str">
        <f>IFERROR(INDEX(Web!$G:$G,MATCH(F150,Web!#REF!,0)),"")</f>
        <v/>
      </c>
      <c r="H150" s="13" t="s">
        <v>51</v>
      </c>
    </row>
    <row r="151" spans="1:8" x14ac:dyDescent="0.3">
      <c r="A151" s="13" t="str">
        <f t="shared" si="5"/>
        <v>☐</v>
      </c>
      <c r="B151" s="13">
        <v>141</v>
      </c>
      <c r="C151" s="13" t="s">
        <v>24</v>
      </c>
      <c r="D151" s="14" t="s">
        <v>384</v>
      </c>
      <c r="E151" s="14" t="s">
        <v>385</v>
      </c>
      <c r="F151" s="13" t="s">
        <v>386</v>
      </c>
      <c r="G151" s="13" t="str">
        <f>IFERROR(INDEX(App!$L:$L,MATCH(F151,App!$A:$A,0)),"")</f>
        <v>Chưa test</v>
      </c>
      <c r="H151" s="13" t="s">
        <v>51</v>
      </c>
    </row>
    <row r="152" spans="1:8" x14ac:dyDescent="0.3">
      <c r="A152" s="13" t="str">
        <f t="shared" si="5"/>
        <v>☐</v>
      </c>
      <c r="B152" s="13">
        <v>142</v>
      </c>
      <c r="C152" s="13" t="s">
        <v>24</v>
      </c>
      <c r="D152" s="14" t="s">
        <v>384</v>
      </c>
      <c r="E152" s="14" t="s">
        <v>387</v>
      </c>
      <c r="F152" s="13" t="s">
        <v>388</v>
      </c>
      <c r="G152" s="13" t="str">
        <f>IFERROR(INDEX(App!$L:$L,MATCH(F152,App!$A:$A,0)),"")</f>
        <v>Chưa test</v>
      </c>
      <c r="H152" s="13" t="s">
        <v>54</v>
      </c>
    </row>
    <row r="153" spans="1:8" x14ac:dyDescent="0.3">
      <c r="A153" s="13" t="str">
        <f t="shared" si="5"/>
        <v>☐</v>
      </c>
      <c r="B153" s="13">
        <v>143</v>
      </c>
      <c r="C153" s="13" t="s">
        <v>24</v>
      </c>
      <c r="D153" s="14" t="s">
        <v>384</v>
      </c>
      <c r="E153" s="14" t="s">
        <v>389</v>
      </c>
      <c r="F153" s="13" t="s">
        <v>390</v>
      </c>
      <c r="G153" s="13" t="str">
        <f>IFERROR(INDEX(App!$L:$L,MATCH(F153,App!$A:$A,0)),"")</f>
        <v>Chưa test</v>
      </c>
      <c r="H153" s="13" t="s">
        <v>51</v>
      </c>
    </row>
    <row r="154" spans="1:8" x14ac:dyDescent="0.3">
      <c r="A154" s="13" t="str">
        <f t="shared" si="5"/>
        <v>☐</v>
      </c>
      <c r="B154" s="13">
        <v>144</v>
      </c>
      <c r="C154" s="13" t="s">
        <v>24</v>
      </c>
      <c r="D154" s="14" t="s">
        <v>384</v>
      </c>
      <c r="E154" s="14" t="s">
        <v>391</v>
      </c>
      <c r="F154" s="13" t="s">
        <v>392</v>
      </c>
      <c r="G154" s="13" t="str">
        <f>IFERROR(INDEX(App!$L:$L,MATCH(F154,App!$A:$A,0)),"")</f>
        <v>Chưa test</v>
      </c>
      <c r="H154" s="13" t="s">
        <v>99</v>
      </c>
    </row>
    <row r="155" spans="1:8" x14ac:dyDescent="0.3">
      <c r="A155" s="12" t="s">
        <v>16</v>
      </c>
      <c r="B155" s="12"/>
      <c r="C155" s="12"/>
      <c r="D155" s="12"/>
      <c r="E155" s="12"/>
      <c r="F155" s="12"/>
      <c r="G155" s="12" t="str">
        <f>COUNTIF(G156:G174,"Đạt")&amp;"/19 đạt"</f>
        <v>0/19 đạt</v>
      </c>
      <c r="H155" s="12"/>
    </row>
    <row r="156" spans="1:8" x14ac:dyDescent="0.3">
      <c r="A156" s="13" t="str">
        <f t="shared" ref="A156:A174" si="6">IF(G156="Đạt","☑",IF(G156="Lỗi","✗",IF(G156="Bỏ qua","–","☐")))</f>
        <v>☐</v>
      </c>
      <c r="B156" s="13">
        <v>145</v>
      </c>
      <c r="C156" s="13" t="s">
        <v>2</v>
      </c>
      <c r="D156" s="14" t="s">
        <v>281</v>
      </c>
      <c r="E156" s="14" t="s">
        <v>393</v>
      </c>
      <c r="F156" s="13" t="s">
        <v>394</v>
      </c>
      <c r="G156" s="13" t="str">
        <f>IFERROR(INDEX(Web!$G:$G,MATCH(F156,Web!#REF!,0)),"")</f>
        <v/>
      </c>
      <c r="H156" s="13" t="s">
        <v>99</v>
      </c>
    </row>
    <row r="157" spans="1:8" x14ac:dyDescent="0.3">
      <c r="A157" s="13" t="str">
        <f t="shared" si="6"/>
        <v>☐</v>
      </c>
      <c r="B157" s="13">
        <v>146</v>
      </c>
      <c r="C157" s="13" t="s">
        <v>2</v>
      </c>
      <c r="D157" s="14" t="s">
        <v>395</v>
      </c>
      <c r="E157" s="14" t="s">
        <v>396</v>
      </c>
      <c r="F157" s="13" t="s">
        <v>397</v>
      </c>
      <c r="G157" s="13" t="str">
        <f>IFERROR(INDEX(Web!$G:$G,MATCH(F157,Web!#REF!,0)),"")</f>
        <v/>
      </c>
      <c r="H157" s="13" t="s">
        <v>51</v>
      </c>
    </row>
    <row r="158" spans="1:8" x14ac:dyDescent="0.3">
      <c r="A158" s="13" t="str">
        <f t="shared" si="6"/>
        <v>☐</v>
      </c>
      <c r="B158" s="13">
        <v>147</v>
      </c>
      <c r="C158" s="13" t="s">
        <v>2</v>
      </c>
      <c r="D158" s="14" t="s">
        <v>395</v>
      </c>
      <c r="E158" s="14" t="s">
        <v>398</v>
      </c>
      <c r="F158" s="13" t="s">
        <v>399</v>
      </c>
      <c r="G158" s="13" t="str">
        <f>IFERROR(INDEX(Web!$G:$G,MATCH(F158,Web!#REF!,0)),"")</f>
        <v/>
      </c>
      <c r="H158" s="13" t="s">
        <v>51</v>
      </c>
    </row>
    <row r="159" spans="1:8" x14ac:dyDescent="0.3">
      <c r="A159" s="13" t="str">
        <f t="shared" si="6"/>
        <v>☐</v>
      </c>
      <c r="B159" s="13">
        <v>148</v>
      </c>
      <c r="C159" s="13" t="s">
        <v>2</v>
      </c>
      <c r="D159" s="14" t="s">
        <v>395</v>
      </c>
      <c r="E159" s="14" t="s">
        <v>400</v>
      </c>
      <c r="F159" s="13" t="s">
        <v>401</v>
      </c>
      <c r="G159" s="13" t="str">
        <f>IFERROR(INDEX(Web!$G:$G,MATCH(F159,Web!#REF!,0)),"")</f>
        <v/>
      </c>
      <c r="H159" s="13" t="s">
        <v>51</v>
      </c>
    </row>
    <row r="160" spans="1:8" x14ac:dyDescent="0.3">
      <c r="A160" s="13" t="str">
        <f t="shared" si="6"/>
        <v>☐</v>
      </c>
      <c r="B160" s="13">
        <v>149</v>
      </c>
      <c r="C160" s="13" t="s">
        <v>2</v>
      </c>
      <c r="D160" s="14" t="s">
        <v>395</v>
      </c>
      <c r="E160" s="14" t="s">
        <v>402</v>
      </c>
      <c r="F160" s="13" t="s">
        <v>403</v>
      </c>
      <c r="G160" s="13" t="str">
        <f>IFERROR(INDEX(Web!$G:$G,MATCH(F160,Web!#REF!,0)),"")</f>
        <v/>
      </c>
      <c r="H160" s="13" t="s">
        <v>54</v>
      </c>
    </row>
    <row r="161" spans="1:8" x14ac:dyDescent="0.3">
      <c r="A161" s="13" t="str">
        <f t="shared" si="6"/>
        <v>☐</v>
      </c>
      <c r="B161" s="13">
        <v>150</v>
      </c>
      <c r="C161" s="13" t="s">
        <v>2</v>
      </c>
      <c r="D161" s="14" t="s">
        <v>395</v>
      </c>
      <c r="E161" s="14" t="s">
        <v>404</v>
      </c>
      <c r="F161" s="13" t="s">
        <v>405</v>
      </c>
      <c r="G161" s="13" t="str">
        <f>IFERROR(INDEX(Web!$G:$G,MATCH(F161,Web!#REF!,0)),"")</f>
        <v/>
      </c>
      <c r="H161" s="13" t="s">
        <v>51</v>
      </c>
    </row>
    <row r="162" spans="1:8" x14ac:dyDescent="0.3">
      <c r="A162" s="13" t="str">
        <f t="shared" si="6"/>
        <v>☐</v>
      </c>
      <c r="B162" s="13">
        <v>151</v>
      </c>
      <c r="C162" s="13" t="s">
        <v>2</v>
      </c>
      <c r="D162" s="14" t="s">
        <v>395</v>
      </c>
      <c r="E162" s="14" t="s">
        <v>406</v>
      </c>
      <c r="F162" s="13" t="s">
        <v>407</v>
      </c>
      <c r="G162" s="13" t="str">
        <f>IFERROR(INDEX(Web!$G:$G,MATCH(F162,Web!#REF!,0)),"")</f>
        <v/>
      </c>
      <c r="H162" s="13" t="s">
        <v>51</v>
      </c>
    </row>
    <row r="163" spans="1:8" x14ac:dyDescent="0.3">
      <c r="A163" s="13" t="str">
        <f t="shared" si="6"/>
        <v>☐</v>
      </c>
      <c r="B163" s="13">
        <v>152</v>
      </c>
      <c r="C163" s="13" t="s">
        <v>2</v>
      </c>
      <c r="D163" s="14" t="s">
        <v>395</v>
      </c>
      <c r="E163" s="14" t="s">
        <v>408</v>
      </c>
      <c r="F163" s="13" t="s">
        <v>409</v>
      </c>
      <c r="G163" s="13" t="str">
        <f>IFERROR(INDEX(Web!$G:$G,MATCH(F163,Web!#REF!,0)),"")</f>
        <v/>
      </c>
      <c r="H163" s="13" t="s">
        <v>54</v>
      </c>
    </row>
    <row r="164" spans="1:8" x14ac:dyDescent="0.3">
      <c r="A164" s="13" t="str">
        <f t="shared" si="6"/>
        <v>☐</v>
      </c>
      <c r="B164" s="13">
        <v>153</v>
      </c>
      <c r="C164" s="13" t="s">
        <v>2</v>
      </c>
      <c r="D164" s="14" t="s">
        <v>410</v>
      </c>
      <c r="E164" s="14" t="s">
        <v>411</v>
      </c>
      <c r="F164" s="13" t="s">
        <v>412</v>
      </c>
      <c r="G164" s="13" t="str">
        <f>IFERROR(INDEX(Web!$G:$G,MATCH(F164,Web!#REF!,0)),"")</f>
        <v/>
      </c>
      <c r="H164" s="13" t="s">
        <v>51</v>
      </c>
    </row>
    <row r="165" spans="1:8" x14ac:dyDescent="0.3">
      <c r="A165" s="13" t="str">
        <f t="shared" si="6"/>
        <v>☐</v>
      </c>
      <c r="B165" s="13">
        <v>154</v>
      </c>
      <c r="C165" s="13" t="s">
        <v>2</v>
      </c>
      <c r="D165" s="14" t="s">
        <v>410</v>
      </c>
      <c r="E165" s="14" t="s">
        <v>413</v>
      </c>
      <c r="F165" s="13" t="s">
        <v>414</v>
      </c>
      <c r="G165" s="13" t="str">
        <f>IFERROR(INDEX(Web!$G:$G,MATCH(F165,Web!#REF!,0)),"")</f>
        <v/>
      </c>
      <c r="H165" s="13" t="s">
        <v>54</v>
      </c>
    </row>
    <row r="166" spans="1:8" x14ac:dyDescent="0.3">
      <c r="A166" s="13" t="str">
        <f t="shared" si="6"/>
        <v>☐</v>
      </c>
      <c r="B166" s="13">
        <v>155</v>
      </c>
      <c r="C166" s="13" t="s">
        <v>2</v>
      </c>
      <c r="D166" s="14" t="s">
        <v>415</v>
      </c>
      <c r="E166" s="14" t="s">
        <v>416</v>
      </c>
      <c r="F166" s="13" t="s">
        <v>417</v>
      </c>
      <c r="G166" s="13" t="str">
        <f>IFERROR(INDEX(Web!$G:$G,MATCH(F166,Web!#REF!,0)),"")</f>
        <v/>
      </c>
      <c r="H166" s="13" t="s">
        <v>54</v>
      </c>
    </row>
    <row r="167" spans="1:8" x14ac:dyDescent="0.3">
      <c r="A167" s="13" t="str">
        <f t="shared" si="6"/>
        <v>☐</v>
      </c>
      <c r="B167" s="13">
        <v>156</v>
      </c>
      <c r="C167" s="13" t="s">
        <v>24</v>
      </c>
      <c r="D167" s="14" t="s">
        <v>418</v>
      </c>
      <c r="E167" s="14" t="s">
        <v>419</v>
      </c>
      <c r="F167" s="13" t="s">
        <v>420</v>
      </c>
      <c r="G167" s="13" t="str">
        <f>IFERROR(INDEX(App!$L:$L,MATCH(F167,App!$A:$A,0)),"")</f>
        <v>Chưa test</v>
      </c>
      <c r="H167" s="13" t="s">
        <v>54</v>
      </c>
    </row>
    <row r="168" spans="1:8" x14ac:dyDescent="0.3">
      <c r="A168" s="13" t="str">
        <f t="shared" si="6"/>
        <v>☐</v>
      </c>
      <c r="B168" s="13">
        <v>157</v>
      </c>
      <c r="C168" s="13" t="s">
        <v>24</v>
      </c>
      <c r="D168" s="14" t="s">
        <v>421</v>
      </c>
      <c r="E168" s="14" t="s">
        <v>422</v>
      </c>
      <c r="F168" s="13" t="s">
        <v>423</v>
      </c>
      <c r="G168" s="13" t="str">
        <f>IFERROR(INDEX(App!$L:$L,MATCH(F168,App!$A:$A,0)),"")</f>
        <v>Chưa test</v>
      </c>
      <c r="H168" s="13" t="s">
        <v>51</v>
      </c>
    </row>
    <row r="169" spans="1:8" x14ac:dyDescent="0.3">
      <c r="A169" s="13" t="str">
        <f t="shared" si="6"/>
        <v>☐</v>
      </c>
      <c r="B169" s="13">
        <v>158</v>
      </c>
      <c r="C169" s="13" t="s">
        <v>24</v>
      </c>
      <c r="D169" s="14" t="s">
        <v>421</v>
      </c>
      <c r="E169" s="14" t="s">
        <v>342</v>
      </c>
      <c r="F169" s="13" t="s">
        <v>424</v>
      </c>
      <c r="G169" s="13" t="str">
        <f>IFERROR(INDEX(App!$L:$L,MATCH(F169,App!$A:$A,0)),"")</f>
        <v>Chưa test</v>
      </c>
      <c r="H169" s="13" t="s">
        <v>51</v>
      </c>
    </row>
    <row r="170" spans="1:8" x14ac:dyDescent="0.3">
      <c r="A170" s="13" t="str">
        <f t="shared" si="6"/>
        <v>☐</v>
      </c>
      <c r="B170" s="13">
        <v>159</v>
      </c>
      <c r="C170" s="13" t="s">
        <v>24</v>
      </c>
      <c r="D170" s="14" t="s">
        <v>421</v>
      </c>
      <c r="E170" s="14" t="s">
        <v>425</v>
      </c>
      <c r="F170" s="13" t="s">
        <v>426</v>
      </c>
      <c r="G170" s="13" t="str">
        <f>IFERROR(INDEX(App!$L:$L,MATCH(F170,App!$A:$A,0)),"")</f>
        <v>Chưa test</v>
      </c>
      <c r="H170" s="13" t="s">
        <v>51</v>
      </c>
    </row>
    <row r="171" spans="1:8" x14ac:dyDescent="0.3">
      <c r="A171" s="13" t="str">
        <f t="shared" si="6"/>
        <v>☐</v>
      </c>
      <c r="B171" s="13">
        <v>160</v>
      </c>
      <c r="C171" s="13" t="s">
        <v>24</v>
      </c>
      <c r="D171" s="14" t="s">
        <v>421</v>
      </c>
      <c r="E171" s="14" t="s">
        <v>400</v>
      </c>
      <c r="F171" s="13" t="s">
        <v>427</v>
      </c>
      <c r="G171" s="13" t="str">
        <f>IFERROR(INDEX(App!$L:$L,MATCH(F171,App!$A:$A,0)),"")</f>
        <v>Chưa test</v>
      </c>
      <c r="H171" s="13" t="s">
        <v>51</v>
      </c>
    </row>
    <row r="172" spans="1:8" x14ac:dyDescent="0.3">
      <c r="A172" s="13" t="str">
        <f t="shared" si="6"/>
        <v>☐</v>
      </c>
      <c r="B172" s="13">
        <v>161</v>
      </c>
      <c r="C172" s="13" t="s">
        <v>24</v>
      </c>
      <c r="D172" s="14" t="s">
        <v>421</v>
      </c>
      <c r="E172" s="14" t="s">
        <v>428</v>
      </c>
      <c r="F172" s="13" t="s">
        <v>429</v>
      </c>
      <c r="G172" s="13" t="str">
        <f>IFERROR(INDEX(App!$L:$L,MATCH(F172,App!$A:$A,0)),"")</f>
        <v>Chưa test</v>
      </c>
      <c r="H172" s="13" t="s">
        <v>54</v>
      </c>
    </row>
    <row r="173" spans="1:8" x14ac:dyDescent="0.3">
      <c r="A173" s="13" t="str">
        <f t="shared" si="6"/>
        <v>☐</v>
      </c>
      <c r="B173" s="13">
        <v>162</v>
      </c>
      <c r="C173" s="13" t="s">
        <v>24</v>
      </c>
      <c r="D173" s="14" t="s">
        <v>430</v>
      </c>
      <c r="E173" s="14" t="s">
        <v>404</v>
      </c>
      <c r="F173" s="13" t="s">
        <v>431</v>
      </c>
      <c r="G173" s="13" t="str">
        <f>IFERROR(INDEX(App!$L:$L,MATCH(F173,App!$A:$A,0)),"")</f>
        <v>Chưa test</v>
      </c>
      <c r="H173" s="13" t="s">
        <v>51</v>
      </c>
    </row>
    <row r="174" spans="1:8" x14ac:dyDescent="0.3">
      <c r="A174" s="13" t="str">
        <f t="shared" si="6"/>
        <v>☐</v>
      </c>
      <c r="B174" s="13">
        <v>163</v>
      </c>
      <c r="C174" s="13" t="s">
        <v>24</v>
      </c>
      <c r="D174" s="14" t="s">
        <v>430</v>
      </c>
      <c r="E174" s="14" t="s">
        <v>432</v>
      </c>
      <c r="F174" s="13" t="s">
        <v>433</v>
      </c>
      <c r="G174" s="13" t="str">
        <f>IFERROR(INDEX(App!$L:$L,MATCH(F174,App!$A:$A,0)),"")</f>
        <v>Chưa test</v>
      </c>
      <c r="H174" s="13" t="s">
        <v>51</v>
      </c>
    </row>
    <row r="175" spans="1:8" x14ac:dyDescent="0.3">
      <c r="A175" s="12" t="s">
        <v>17</v>
      </c>
      <c r="B175" s="12"/>
      <c r="C175" s="12"/>
      <c r="D175" s="12"/>
      <c r="E175" s="12"/>
      <c r="F175" s="12"/>
      <c r="G175" s="12" t="str">
        <f>COUNTIF(G176:G191,"Đạt")&amp;"/16 đạt"</f>
        <v>0/16 đạt</v>
      </c>
      <c r="H175" s="12"/>
    </row>
    <row r="176" spans="1:8" x14ac:dyDescent="0.3">
      <c r="A176" s="13" t="str">
        <f t="shared" ref="A176:A191" si="7">IF(G176="Đạt","☑",IF(G176="Lỗi","✗",IF(G176="Bỏ qua","–","☐")))</f>
        <v>☐</v>
      </c>
      <c r="B176" s="13">
        <v>164</v>
      </c>
      <c r="C176" s="13" t="s">
        <v>2</v>
      </c>
      <c r="D176" s="14" t="s">
        <v>281</v>
      </c>
      <c r="E176" s="14" t="s">
        <v>434</v>
      </c>
      <c r="F176" s="13" t="s">
        <v>435</v>
      </c>
      <c r="G176" s="13" t="str">
        <f>IFERROR(INDEX(Web!$G:$G,MATCH(F176,Web!#REF!,0)),"")</f>
        <v/>
      </c>
      <c r="H176" s="13" t="s">
        <v>99</v>
      </c>
    </row>
    <row r="177" spans="1:8" x14ac:dyDescent="0.3">
      <c r="A177" s="13" t="str">
        <f t="shared" si="7"/>
        <v>☐</v>
      </c>
      <c r="B177" s="13">
        <v>165</v>
      </c>
      <c r="C177" s="13" t="s">
        <v>2</v>
      </c>
      <c r="D177" s="14" t="s">
        <v>436</v>
      </c>
      <c r="E177" s="14" t="s">
        <v>437</v>
      </c>
      <c r="F177" s="13" t="s">
        <v>438</v>
      </c>
      <c r="G177" s="13" t="str">
        <f>IFERROR(INDEX(Web!$G:$G,MATCH(F177,Web!#REF!,0)),"")</f>
        <v/>
      </c>
      <c r="H177" s="13" t="s">
        <v>51</v>
      </c>
    </row>
    <row r="178" spans="1:8" x14ac:dyDescent="0.3">
      <c r="A178" s="13" t="str">
        <f t="shared" si="7"/>
        <v>☐</v>
      </c>
      <c r="B178" s="13">
        <v>166</v>
      </c>
      <c r="C178" s="13" t="s">
        <v>2</v>
      </c>
      <c r="D178" s="14" t="s">
        <v>436</v>
      </c>
      <c r="E178" s="14" t="s">
        <v>439</v>
      </c>
      <c r="F178" s="13" t="s">
        <v>440</v>
      </c>
      <c r="G178" s="13" t="str">
        <f>IFERROR(INDEX(Web!$G:$G,MATCH(F178,Web!#REF!,0)),"")</f>
        <v/>
      </c>
      <c r="H178" s="13" t="s">
        <v>51</v>
      </c>
    </row>
    <row r="179" spans="1:8" x14ac:dyDescent="0.3">
      <c r="A179" s="13" t="str">
        <f t="shared" si="7"/>
        <v>☐</v>
      </c>
      <c r="B179" s="13">
        <v>167</v>
      </c>
      <c r="C179" s="13" t="s">
        <v>2</v>
      </c>
      <c r="D179" s="14" t="s">
        <v>436</v>
      </c>
      <c r="E179" s="14" t="s">
        <v>441</v>
      </c>
      <c r="F179" s="13" t="s">
        <v>442</v>
      </c>
      <c r="G179" s="13" t="str">
        <f>IFERROR(INDEX(Web!$G:$G,MATCH(F179,Web!#REF!,0)),"")</f>
        <v/>
      </c>
      <c r="H179" s="13" t="s">
        <v>51</v>
      </c>
    </row>
    <row r="180" spans="1:8" x14ac:dyDescent="0.3">
      <c r="A180" s="13" t="str">
        <f t="shared" si="7"/>
        <v>☐</v>
      </c>
      <c r="B180" s="13">
        <v>168</v>
      </c>
      <c r="C180" s="13" t="s">
        <v>2</v>
      </c>
      <c r="D180" s="14" t="s">
        <v>443</v>
      </c>
      <c r="E180" s="14" t="s">
        <v>444</v>
      </c>
      <c r="F180" s="13" t="s">
        <v>445</v>
      </c>
      <c r="G180" s="13" t="str">
        <f>IFERROR(INDEX(Web!$G:$G,MATCH(F180,Web!#REF!,0)),"")</f>
        <v/>
      </c>
      <c r="H180" s="13" t="s">
        <v>54</v>
      </c>
    </row>
    <row r="181" spans="1:8" x14ac:dyDescent="0.3">
      <c r="A181" s="13" t="str">
        <f t="shared" si="7"/>
        <v>☐</v>
      </c>
      <c r="B181" s="13">
        <v>169</v>
      </c>
      <c r="C181" s="13" t="s">
        <v>2</v>
      </c>
      <c r="D181" s="14" t="s">
        <v>446</v>
      </c>
      <c r="E181" s="14" t="s">
        <v>447</v>
      </c>
      <c r="F181" s="13" t="s">
        <v>448</v>
      </c>
      <c r="G181" s="13" t="str">
        <f>IFERROR(INDEX(Web!$G:$G,MATCH(F181,Web!#REF!,0)),"")</f>
        <v/>
      </c>
      <c r="H181" s="13" t="s">
        <v>51</v>
      </c>
    </row>
    <row r="182" spans="1:8" x14ac:dyDescent="0.3">
      <c r="A182" s="13" t="str">
        <f t="shared" si="7"/>
        <v>☐</v>
      </c>
      <c r="B182" s="13">
        <v>170</v>
      </c>
      <c r="C182" s="13" t="s">
        <v>2</v>
      </c>
      <c r="D182" s="14" t="s">
        <v>446</v>
      </c>
      <c r="E182" s="14" t="s">
        <v>449</v>
      </c>
      <c r="F182" s="13" t="s">
        <v>450</v>
      </c>
      <c r="G182" s="13" t="str">
        <f>IFERROR(INDEX(Web!$G:$G,MATCH(F182,Web!#REF!,0)),"")</f>
        <v/>
      </c>
      <c r="H182" s="13" t="s">
        <v>54</v>
      </c>
    </row>
    <row r="183" spans="1:8" x14ac:dyDescent="0.3">
      <c r="A183" s="13" t="str">
        <f t="shared" si="7"/>
        <v>☐</v>
      </c>
      <c r="B183" s="13">
        <v>171</v>
      </c>
      <c r="C183" s="13" t="s">
        <v>2</v>
      </c>
      <c r="D183" s="14" t="s">
        <v>451</v>
      </c>
      <c r="E183" s="14" t="s">
        <v>452</v>
      </c>
      <c r="F183" s="13" t="s">
        <v>453</v>
      </c>
      <c r="G183" s="13" t="str">
        <f>IFERROR(INDEX(Web!$G:$G,MATCH(F183,Web!#REF!,0)),"")</f>
        <v/>
      </c>
      <c r="H183" s="13" t="s">
        <v>54</v>
      </c>
    </row>
    <row r="184" spans="1:8" x14ac:dyDescent="0.3">
      <c r="A184" s="13" t="str">
        <f t="shared" si="7"/>
        <v>☐</v>
      </c>
      <c r="B184" s="13">
        <v>172</v>
      </c>
      <c r="C184" s="13" t="s">
        <v>2</v>
      </c>
      <c r="D184" s="14" t="s">
        <v>454</v>
      </c>
      <c r="E184" s="14" t="s">
        <v>455</v>
      </c>
      <c r="F184" s="13" t="s">
        <v>456</v>
      </c>
      <c r="G184" s="13" t="str">
        <f>IFERROR(INDEX(Web!$G:$G,MATCH(F184,Web!#REF!,0)),"")</f>
        <v/>
      </c>
      <c r="H184" s="13" t="s">
        <v>54</v>
      </c>
    </row>
    <row r="185" spans="1:8" x14ac:dyDescent="0.3">
      <c r="A185" s="13" t="str">
        <f t="shared" si="7"/>
        <v>☐</v>
      </c>
      <c r="B185" s="13">
        <v>173</v>
      </c>
      <c r="C185" s="13" t="s">
        <v>2</v>
      </c>
      <c r="D185" s="14" t="s">
        <v>457</v>
      </c>
      <c r="E185" s="14" t="s">
        <v>458</v>
      </c>
      <c r="F185" s="13" t="s">
        <v>459</v>
      </c>
      <c r="G185" s="13" t="str">
        <f>IFERROR(INDEX(Web!$G:$G,MATCH(F185,Web!#REF!,0)),"")</f>
        <v/>
      </c>
      <c r="H185" s="13" t="s">
        <v>54</v>
      </c>
    </row>
    <row r="186" spans="1:8" x14ac:dyDescent="0.3">
      <c r="A186" s="13" t="str">
        <f t="shared" si="7"/>
        <v>☐</v>
      </c>
      <c r="B186" s="13">
        <v>174</v>
      </c>
      <c r="C186" s="13" t="s">
        <v>2</v>
      </c>
      <c r="D186" s="14" t="s">
        <v>460</v>
      </c>
      <c r="E186" s="14" t="s">
        <v>461</v>
      </c>
      <c r="F186" s="13" t="s">
        <v>462</v>
      </c>
      <c r="G186" s="13" t="str">
        <f>IFERROR(INDEX(Web!$G:$G,MATCH(F186,Web!#REF!,0)),"")</f>
        <v/>
      </c>
      <c r="H186" s="13" t="s">
        <v>99</v>
      </c>
    </row>
    <row r="187" spans="1:8" x14ac:dyDescent="0.3">
      <c r="A187" s="13" t="str">
        <f t="shared" si="7"/>
        <v>☐</v>
      </c>
      <c r="B187" s="13">
        <v>175</v>
      </c>
      <c r="C187" s="13" t="s">
        <v>24</v>
      </c>
      <c r="D187" s="14" t="s">
        <v>463</v>
      </c>
      <c r="E187" s="14" t="s">
        <v>464</v>
      </c>
      <c r="F187" s="13" t="s">
        <v>465</v>
      </c>
      <c r="G187" s="13" t="str">
        <f>IFERROR(INDEX(App!$L:$L,MATCH(F187,App!$A:$A,0)),"")</f>
        <v>Chưa test</v>
      </c>
      <c r="H187" s="13" t="s">
        <v>54</v>
      </c>
    </row>
    <row r="188" spans="1:8" x14ac:dyDescent="0.3">
      <c r="A188" s="13" t="str">
        <f t="shared" si="7"/>
        <v>☐</v>
      </c>
      <c r="B188" s="13">
        <v>176</v>
      </c>
      <c r="C188" s="13" t="s">
        <v>24</v>
      </c>
      <c r="D188" s="14" t="s">
        <v>466</v>
      </c>
      <c r="E188" s="14" t="s">
        <v>466</v>
      </c>
      <c r="F188" s="13" t="s">
        <v>467</v>
      </c>
      <c r="G188" s="13" t="str">
        <f>IFERROR(INDEX(App!$L:$L,MATCH(F188,App!$A:$A,0)),"")</f>
        <v>Chưa test</v>
      </c>
      <c r="H188" s="13" t="s">
        <v>51</v>
      </c>
    </row>
    <row r="189" spans="1:8" x14ac:dyDescent="0.3">
      <c r="A189" s="13" t="str">
        <f t="shared" si="7"/>
        <v>☐</v>
      </c>
      <c r="B189" s="13">
        <v>177</v>
      </c>
      <c r="C189" s="13" t="s">
        <v>24</v>
      </c>
      <c r="D189" s="14" t="s">
        <v>466</v>
      </c>
      <c r="E189" s="14" t="s">
        <v>342</v>
      </c>
      <c r="F189" s="13" t="s">
        <v>468</v>
      </c>
      <c r="G189" s="13" t="str">
        <f>IFERROR(INDEX(App!$L:$L,MATCH(F189,App!$A:$A,0)),"")</f>
        <v>Chưa test</v>
      </c>
      <c r="H189" s="13" t="s">
        <v>51</v>
      </c>
    </row>
    <row r="190" spans="1:8" x14ac:dyDescent="0.3">
      <c r="A190" s="13" t="str">
        <f t="shared" si="7"/>
        <v>☐</v>
      </c>
      <c r="B190" s="13">
        <v>178</v>
      </c>
      <c r="C190" s="13" t="s">
        <v>24</v>
      </c>
      <c r="D190" s="14" t="s">
        <v>469</v>
      </c>
      <c r="E190" s="14" t="s">
        <v>470</v>
      </c>
      <c r="F190" s="13" t="s">
        <v>471</v>
      </c>
      <c r="G190" s="13" t="str">
        <f>IFERROR(INDEX(App!$L:$L,MATCH(F190,App!$A:$A,0)),"")</f>
        <v>Chưa test</v>
      </c>
      <c r="H190" s="13" t="s">
        <v>51</v>
      </c>
    </row>
    <row r="191" spans="1:8" x14ac:dyDescent="0.3">
      <c r="A191" s="13" t="str">
        <f t="shared" si="7"/>
        <v>☐</v>
      </c>
      <c r="B191" s="13">
        <v>179</v>
      </c>
      <c r="C191" s="13" t="s">
        <v>24</v>
      </c>
      <c r="D191" s="14" t="s">
        <v>472</v>
      </c>
      <c r="E191" s="14" t="s">
        <v>473</v>
      </c>
      <c r="F191" s="13" t="s">
        <v>474</v>
      </c>
      <c r="G191" s="13" t="str">
        <f>IFERROR(INDEX(App!$L:$L,MATCH(F191,App!$A:$A,0)),"")</f>
        <v>Chưa test</v>
      </c>
      <c r="H191" s="13" t="s">
        <v>51</v>
      </c>
    </row>
    <row r="192" spans="1:8" x14ac:dyDescent="0.3">
      <c r="A192" s="12" t="s">
        <v>18</v>
      </c>
      <c r="B192" s="12"/>
      <c r="C192" s="12"/>
      <c r="D192" s="12"/>
      <c r="E192" s="12"/>
      <c r="F192" s="12"/>
      <c r="G192" s="12" t="str">
        <f>COUNTIF(G193:G205,"Đạt")&amp;"/13 đạt"</f>
        <v>0/13 đạt</v>
      </c>
      <c r="H192" s="12"/>
    </row>
    <row r="193" spans="1:8" x14ac:dyDescent="0.3">
      <c r="A193" s="13" t="str">
        <f t="shared" ref="A193:A205" si="8">IF(G193="Đạt","☑",IF(G193="Lỗi","✗",IF(G193="Bỏ qua","–","☐")))</f>
        <v>☐</v>
      </c>
      <c r="B193" s="13">
        <v>180</v>
      </c>
      <c r="C193" s="13" t="s">
        <v>2</v>
      </c>
      <c r="D193" s="14" t="s">
        <v>281</v>
      </c>
      <c r="E193" s="14" t="s">
        <v>475</v>
      </c>
      <c r="F193" s="13" t="s">
        <v>476</v>
      </c>
      <c r="G193" s="13" t="str">
        <f>IFERROR(INDEX(Web!$G:$G,MATCH(F193,Web!#REF!,0)),"")</f>
        <v/>
      </c>
      <c r="H193" s="13" t="s">
        <v>99</v>
      </c>
    </row>
    <row r="194" spans="1:8" x14ac:dyDescent="0.3">
      <c r="A194" s="13" t="str">
        <f t="shared" si="8"/>
        <v>☐</v>
      </c>
      <c r="B194" s="13">
        <v>181</v>
      </c>
      <c r="C194" s="13" t="s">
        <v>2</v>
      </c>
      <c r="D194" s="14" t="s">
        <v>477</v>
      </c>
      <c r="E194" s="14" t="s">
        <v>478</v>
      </c>
      <c r="F194" s="13" t="s">
        <v>479</v>
      </c>
      <c r="G194" s="13" t="str">
        <f>IFERROR(INDEX(Web!$G:$G,MATCH(F194,Web!#REF!,0)),"")</f>
        <v/>
      </c>
      <c r="H194" s="13" t="s">
        <v>51</v>
      </c>
    </row>
    <row r="195" spans="1:8" x14ac:dyDescent="0.3">
      <c r="A195" s="13" t="str">
        <f t="shared" si="8"/>
        <v>☐</v>
      </c>
      <c r="B195" s="13">
        <v>182</v>
      </c>
      <c r="C195" s="13" t="s">
        <v>2</v>
      </c>
      <c r="D195" s="14" t="s">
        <v>477</v>
      </c>
      <c r="E195" s="14" t="s">
        <v>480</v>
      </c>
      <c r="F195" s="13" t="s">
        <v>481</v>
      </c>
      <c r="G195" s="13" t="str">
        <f>IFERROR(INDEX(Web!$G:$G,MATCH(F195,Web!#REF!,0)),"")</f>
        <v/>
      </c>
      <c r="H195" s="13" t="s">
        <v>51</v>
      </c>
    </row>
    <row r="196" spans="1:8" x14ac:dyDescent="0.3">
      <c r="A196" s="13" t="str">
        <f t="shared" si="8"/>
        <v>☐</v>
      </c>
      <c r="B196" s="13">
        <v>183</v>
      </c>
      <c r="C196" s="13" t="s">
        <v>2</v>
      </c>
      <c r="D196" s="14" t="s">
        <v>477</v>
      </c>
      <c r="E196" s="14" t="s">
        <v>482</v>
      </c>
      <c r="F196" s="13" t="s">
        <v>483</v>
      </c>
      <c r="G196" s="13" t="str">
        <f>IFERROR(INDEX(Web!$G:$G,MATCH(F196,Web!#REF!,0)),"")</f>
        <v/>
      </c>
      <c r="H196" s="13" t="s">
        <v>51</v>
      </c>
    </row>
    <row r="197" spans="1:8" x14ac:dyDescent="0.3">
      <c r="A197" s="13" t="str">
        <f t="shared" si="8"/>
        <v>☐</v>
      </c>
      <c r="B197" s="13">
        <v>184</v>
      </c>
      <c r="C197" s="13" t="s">
        <v>2</v>
      </c>
      <c r="D197" s="14" t="s">
        <v>477</v>
      </c>
      <c r="E197" s="14" t="s">
        <v>484</v>
      </c>
      <c r="F197" s="13" t="s">
        <v>485</v>
      </c>
      <c r="G197" s="13" t="str">
        <f>IFERROR(INDEX(Web!$G:$G,MATCH(F197,Web!#REF!,0)),"")</f>
        <v/>
      </c>
      <c r="H197" s="13" t="s">
        <v>54</v>
      </c>
    </row>
    <row r="198" spans="1:8" x14ac:dyDescent="0.3">
      <c r="A198" s="13" t="str">
        <f t="shared" si="8"/>
        <v>☐</v>
      </c>
      <c r="B198" s="13">
        <v>185</v>
      </c>
      <c r="C198" s="13" t="s">
        <v>2</v>
      </c>
      <c r="D198" s="14" t="s">
        <v>477</v>
      </c>
      <c r="E198" s="14" t="s">
        <v>486</v>
      </c>
      <c r="F198" s="13" t="s">
        <v>487</v>
      </c>
      <c r="G198" s="13" t="str">
        <f>IFERROR(INDEX(Web!$G:$G,MATCH(F198,Web!#REF!,0)),"")</f>
        <v/>
      </c>
      <c r="H198" s="13" t="s">
        <v>51</v>
      </c>
    </row>
    <row r="199" spans="1:8" x14ac:dyDescent="0.3">
      <c r="A199" s="13" t="str">
        <f t="shared" si="8"/>
        <v>☐</v>
      </c>
      <c r="B199" s="13">
        <v>186</v>
      </c>
      <c r="C199" s="13" t="s">
        <v>2</v>
      </c>
      <c r="D199" s="14" t="s">
        <v>477</v>
      </c>
      <c r="E199" s="14" t="s">
        <v>488</v>
      </c>
      <c r="F199" s="13" t="s">
        <v>489</v>
      </c>
      <c r="G199" s="13" t="str">
        <f>IFERROR(INDEX(Web!$G:$G,MATCH(F199,Web!#REF!,0)),"")</f>
        <v/>
      </c>
      <c r="H199" s="13" t="s">
        <v>54</v>
      </c>
    </row>
    <row r="200" spans="1:8" x14ac:dyDescent="0.3">
      <c r="A200" s="13" t="str">
        <f t="shared" si="8"/>
        <v>☐</v>
      </c>
      <c r="B200" s="13">
        <v>187</v>
      </c>
      <c r="C200" s="13" t="s">
        <v>24</v>
      </c>
      <c r="D200" s="14" t="s">
        <v>490</v>
      </c>
      <c r="E200" s="14" t="s">
        <v>490</v>
      </c>
      <c r="F200" s="13" t="s">
        <v>491</v>
      </c>
      <c r="G200" s="13" t="str">
        <f>IFERROR(INDEX(App!$L:$L,MATCH(F200,App!$A:$A,0)),"")</f>
        <v>Chưa test</v>
      </c>
      <c r="H200" s="13" t="s">
        <v>54</v>
      </c>
    </row>
    <row r="201" spans="1:8" x14ac:dyDescent="0.3">
      <c r="A201" s="13" t="str">
        <f t="shared" si="8"/>
        <v>☐</v>
      </c>
      <c r="B201" s="13">
        <v>188</v>
      </c>
      <c r="C201" s="13" t="s">
        <v>24</v>
      </c>
      <c r="D201" s="14" t="s">
        <v>492</v>
      </c>
      <c r="E201" s="14" t="s">
        <v>493</v>
      </c>
      <c r="F201" s="13" t="s">
        <v>494</v>
      </c>
      <c r="G201" s="13" t="str">
        <f>IFERROR(INDEX(App!$L:$L,MATCH(F201,App!$A:$A,0)),"")</f>
        <v>Chưa test</v>
      </c>
      <c r="H201" s="13" t="s">
        <v>51</v>
      </c>
    </row>
    <row r="202" spans="1:8" x14ac:dyDescent="0.3">
      <c r="A202" s="13" t="str">
        <f t="shared" si="8"/>
        <v>☐</v>
      </c>
      <c r="B202" s="13">
        <v>189</v>
      </c>
      <c r="C202" s="13" t="s">
        <v>24</v>
      </c>
      <c r="D202" s="14" t="s">
        <v>492</v>
      </c>
      <c r="E202" s="14" t="s">
        <v>342</v>
      </c>
      <c r="F202" s="13" t="s">
        <v>495</v>
      </c>
      <c r="G202" s="13" t="str">
        <f>IFERROR(INDEX(App!$L:$L,MATCH(F202,App!$A:$A,0)),"")</f>
        <v>Chưa test</v>
      </c>
      <c r="H202" s="13" t="s">
        <v>51</v>
      </c>
    </row>
    <row r="203" spans="1:8" x14ac:dyDescent="0.3">
      <c r="A203" s="13" t="str">
        <f t="shared" si="8"/>
        <v>☐</v>
      </c>
      <c r="B203" s="13">
        <v>190</v>
      </c>
      <c r="C203" s="13" t="s">
        <v>24</v>
      </c>
      <c r="D203" s="14" t="s">
        <v>496</v>
      </c>
      <c r="E203" s="14" t="s">
        <v>497</v>
      </c>
      <c r="F203" s="13" t="s">
        <v>498</v>
      </c>
      <c r="G203" s="13" t="str">
        <f>IFERROR(INDEX(App!$L:$L,MATCH(F203,App!$A:$A,0)),"")</f>
        <v>Chưa test</v>
      </c>
      <c r="H203" s="13" t="s">
        <v>51</v>
      </c>
    </row>
    <row r="204" spans="1:8" x14ac:dyDescent="0.3">
      <c r="A204" s="13" t="str">
        <f t="shared" si="8"/>
        <v>☐</v>
      </c>
      <c r="B204" s="13">
        <v>191</v>
      </c>
      <c r="C204" s="13" t="s">
        <v>24</v>
      </c>
      <c r="D204" s="14" t="s">
        <v>499</v>
      </c>
      <c r="E204" s="14" t="s">
        <v>500</v>
      </c>
      <c r="F204" s="13" t="s">
        <v>501</v>
      </c>
      <c r="G204" s="13" t="str">
        <f>IFERROR(INDEX(App!$L:$L,MATCH(F204,App!$A:$A,0)),"")</f>
        <v>Chưa test</v>
      </c>
      <c r="H204" s="13" t="s">
        <v>54</v>
      </c>
    </row>
    <row r="205" spans="1:8" x14ac:dyDescent="0.3">
      <c r="A205" s="13" t="str">
        <f t="shared" si="8"/>
        <v>☐</v>
      </c>
      <c r="B205" s="13">
        <v>192</v>
      </c>
      <c r="C205" s="13" t="s">
        <v>24</v>
      </c>
      <c r="D205" s="14" t="s">
        <v>496</v>
      </c>
      <c r="E205" s="14" t="s">
        <v>502</v>
      </c>
      <c r="F205" s="13" t="s">
        <v>503</v>
      </c>
      <c r="G205" s="13" t="str">
        <f>IFERROR(INDEX(App!$L:$L,MATCH(F205,App!$A:$A,0)),"")</f>
        <v>Chưa test</v>
      </c>
      <c r="H205" s="13" t="s">
        <v>51</v>
      </c>
    </row>
    <row r="206" spans="1:8" x14ac:dyDescent="0.3">
      <c r="A206" s="12" t="s">
        <v>19</v>
      </c>
      <c r="B206" s="12"/>
      <c r="C206" s="12"/>
      <c r="D206" s="12"/>
      <c r="E206" s="12"/>
      <c r="F206" s="12"/>
      <c r="G206" s="12" t="str">
        <f>COUNTIF(G207:G216,"Đạt")&amp;"/10 đạt"</f>
        <v>0/10 đạt</v>
      </c>
      <c r="H206" s="12"/>
    </row>
    <row r="207" spans="1:8" x14ac:dyDescent="0.3">
      <c r="A207" s="13" t="str">
        <f t="shared" ref="A207:A216" si="9">IF(G207="Đạt","☑",IF(G207="Lỗi","✗",IF(G207="Bỏ qua","–","☐")))</f>
        <v>☐</v>
      </c>
      <c r="B207" s="13">
        <v>193</v>
      </c>
      <c r="C207" s="13" t="s">
        <v>2</v>
      </c>
      <c r="D207" s="14" t="s">
        <v>281</v>
      </c>
      <c r="E207" s="14" t="s">
        <v>504</v>
      </c>
      <c r="F207" s="13" t="s">
        <v>505</v>
      </c>
      <c r="G207" s="13" t="str">
        <f>IFERROR(INDEX(Web!$G:$G,MATCH(F207,Web!#REF!,0)),"")</f>
        <v/>
      </c>
      <c r="H207" s="13" t="s">
        <v>99</v>
      </c>
    </row>
    <row r="208" spans="1:8" x14ac:dyDescent="0.3">
      <c r="A208" s="13" t="str">
        <f t="shared" si="9"/>
        <v>☐</v>
      </c>
      <c r="B208" s="13">
        <v>194</v>
      </c>
      <c r="C208" s="13" t="s">
        <v>2</v>
      </c>
      <c r="D208" s="14" t="s">
        <v>19</v>
      </c>
      <c r="E208" s="14" t="s">
        <v>506</v>
      </c>
      <c r="F208" s="13" t="s">
        <v>507</v>
      </c>
      <c r="G208" s="13" t="str">
        <f>IFERROR(INDEX(Web!$G:$G,MATCH(F208,Web!#REF!,0)),"")</f>
        <v/>
      </c>
      <c r="H208" s="13" t="s">
        <v>54</v>
      </c>
    </row>
    <row r="209" spans="1:8" x14ac:dyDescent="0.3">
      <c r="A209" s="13" t="str">
        <f t="shared" si="9"/>
        <v>☐</v>
      </c>
      <c r="B209" s="13">
        <v>195</v>
      </c>
      <c r="C209" s="13" t="s">
        <v>2</v>
      </c>
      <c r="D209" s="14" t="s">
        <v>19</v>
      </c>
      <c r="E209" s="14" t="s">
        <v>508</v>
      </c>
      <c r="F209" s="13" t="s">
        <v>509</v>
      </c>
      <c r="G209" s="13" t="str">
        <f>IFERROR(INDEX(Web!$G:$G,MATCH(F209,Web!#REF!,0)),"")</f>
        <v/>
      </c>
      <c r="H209" s="13" t="s">
        <v>51</v>
      </c>
    </row>
    <row r="210" spans="1:8" x14ac:dyDescent="0.3">
      <c r="A210" s="13" t="str">
        <f t="shared" si="9"/>
        <v>☐</v>
      </c>
      <c r="B210" s="13">
        <v>196</v>
      </c>
      <c r="C210" s="13" t="s">
        <v>2</v>
      </c>
      <c r="D210" s="14" t="s">
        <v>19</v>
      </c>
      <c r="E210" s="14" t="s">
        <v>510</v>
      </c>
      <c r="F210" s="13" t="s">
        <v>511</v>
      </c>
      <c r="G210" s="13" t="str">
        <f>IFERROR(INDEX(Web!$G:$G,MATCH(F210,Web!#REF!,0)),"")</f>
        <v/>
      </c>
      <c r="H210" s="13" t="s">
        <v>51</v>
      </c>
    </row>
    <row r="211" spans="1:8" x14ac:dyDescent="0.3">
      <c r="A211" s="13" t="str">
        <f t="shared" si="9"/>
        <v>☐</v>
      </c>
      <c r="B211" s="13">
        <v>197</v>
      </c>
      <c r="C211" s="13" t="s">
        <v>2</v>
      </c>
      <c r="D211" s="14" t="s">
        <v>19</v>
      </c>
      <c r="E211" s="14" t="s">
        <v>512</v>
      </c>
      <c r="F211" s="13" t="s">
        <v>513</v>
      </c>
      <c r="G211" s="13" t="str">
        <f>IFERROR(INDEX(Web!$G:$G,MATCH(F211,Web!#REF!,0)),"")</f>
        <v/>
      </c>
      <c r="H211" s="13" t="s">
        <v>54</v>
      </c>
    </row>
    <row r="212" spans="1:8" x14ac:dyDescent="0.3">
      <c r="A212" s="13" t="str">
        <f t="shared" si="9"/>
        <v>☐</v>
      </c>
      <c r="B212" s="13">
        <v>198</v>
      </c>
      <c r="C212" s="13" t="s">
        <v>2</v>
      </c>
      <c r="D212" s="14" t="s">
        <v>19</v>
      </c>
      <c r="E212" s="14" t="s">
        <v>514</v>
      </c>
      <c r="F212" s="13" t="s">
        <v>515</v>
      </c>
      <c r="G212" s="13" t="str">
        <f>IFERROR(INDEX(Web!$G:$G,MATCH(F212,Web!#REF!,0)),"")</f>
        <v/>
      </c>
      <c r="H212" s="13" t="s">
        <v>54</v>
      </c>
    </row>
    <row r="213" spans="1:8" x14ac:dyDescent="0.3">
      <c r="A213" s="13" t="str">
        <f t="shared" si="9"/>
        <v>☐</v>
      </c>
      <c r="B213" s="13">
        <v>199</v>
      </c>
      <c r="C213" s="13" t="s">
        <v>24</v>
      </c>
      <c r="D213" s="14" t="s">
        <v>516</v>
      </c>
      <c r="E213" s="14" t="s">
        <v>517</v>
      </c>
      <c r="F213" s="13" t="s">
        <v>518</v>
      </c>
      <c r="G213" s="13" t="str">
        <f>IFERROR(INDEX(App!$L:$L,MATCH(F213,App!$A:$A,0)),"")</f>
        <v>Chưa test</v>
      </c>
      <c r="H213" s="13" t="s">
        <v>54</v>
      </c>
    </row>
    <row r="214" spans="1:8" x14ac:dyDescent="0.3">
      <c r="A214" s="13" t="str">
        <f t="shared" si="9"/>
        <v>☐</v>
      </c>
      <c r="B214" s="13">
        <v>200</v>
      </c>
      <c r="C214" s="13" t="s">
        <v>24</v>
      </c>
      <c r="D214" s="14" t="s">
        <v>519</v>
      </c>
      <c r="E214" s="14" t="s">
        <v>520</v>
      </c>
      <c r="F214" s="13" t="s">
        <v>521</v>
      </c>
      <c r="G214" s="13" t="str">
        <f>IFERROR(INDEX(App!$L:$L,MATCH(F214,App!$A:$A,0)),"")</f>
        <v>Chưa test</v>
      </c>
      <c r="H214" s="13" t="s">
        <v>51</v>
      </c>
    </row>
    <row r="215" spans="1:8" x14ac:dyDescent="0.3">
      <c r="A215" s="13" t="str">
        <f t="shared" si="9"/>
        <v>☐</v>
      </c>
      <c r="B215" s="13">
        <v>201</v>
      </c>
      <c r="C215" s="13" t="s">
        <v>24</v>
      </c>
      <c r="D215" s="14" t="s">
        <v>519</v>
      </c>
      <c r="E215" s="14" t="s">
        <v>522</v>
      </c>
      <c r="F215" s="13" t="s">
        <v>523</v>
      </c>
      <c r="G215" s="13" t="str">
        <f>IFERROR(INDEX(App!$L:$L,MATCH(F215,App!$A:$A,0)),"")</f>
        <v>Chưa test</v>
      </c>
      <c r="H215" s="13" t="s">
        <v>54</v>
      </c>
    </row>
    <row r="216" spans="1:8" x14ac:dyDescent="0.3">
      <c r="A216" s="13" t="str">
        <f t="shared" si="9"/>
        <v>☐</v>
      </c>
      <c r="B216" s="13">
        <v>202</v>
      </c>
      <c r="C216" s="13" t="s">
        <v>24</v>
      </c>
      <c r="D216" s="14" t="s">
        <v>524</v>
      </c>
      <c r="E216" s="14" t="s">
        <v>525</v>
      </c>
      <c r="F216" s="13" t="s">
        <v>526</v>
      </c>
      <c r="G216" s="13" t="str">
        <f>IFERROR(INDEX(App!$L:$L,MATCH(F216,App!$A:$A,0)),"")</f>
        <v>Chưa test</v>
      </c>
      <c r="H216" s="13" t="s">
        <v>99</v>
      </c>
    </row>
    <row r="217" spans="1:8" x14ac:dyDescent="0.3">
      <c r="A217" s="12" t="s">
        <v>20</v>
      </c>
      <c r="B217" s="12"/>
      <c r="C217" s="12"/>
      <c r="D217" s="12"/>
      <c r="E217" s="12"/>
      <c r="F217" s="12"/>
      <c r="G217" s="12" t="str">
        <f>COUNTIF(G218:G245,"Đạt")&amp;"/28 đạt"</f>
        <v>0/28 đạt</v>
      </c>
      <c r="H217" s="12"/>
    </row>
    <row r="218" spans="1:8" x14ac:dyDescent="0.3">
      <c r="A218" s="13" t="str">
        <f t="shared" ref="A218:A245" si="10">IF(G218="Đạt","☑",IF(G218="Lỗi","✗",IF(G218="Bỏ qua","–","☐")))</f>
        <v>☐</v>
      </c>
      <c r="B218" s="13">
        <v>203</v>
      </c>
      <c r="C218" s="13" t="s">
        <v>2</v>
      </c>
      <c r="D218" s="14" t="s">
        <v>527</v>
      </c>
      <c r="E218" s="14" t="s">
        <v>528</v>
      </c>
      <c r="F218" s="13" t="s">
        <v>529</v>
      </c>
      <c r="G218" s="13" t="str">
        <f>IFERROR(INDEX(Web!$G:$G,MATCH(F218,Web!#REF!,0)),"")</f>
        <v/>
      </c>
      <c r="H218" s="13" t="s">
        <v>51</v>
      </c>
    </row>
    <row r="219" spans="1:8" x14ac:dyDescent="0.3">
      <c r="A219" s="13" t="str">
        <f t="shared" si="10"/>
        <v>☐</v>
      </c>
      <c r="B219" s="13">
        <v>204</v>
      </c>
      <c r="C219" s="13" t="s">
        <v>2</v>
      </c>
      <c r="D219" s="14" t="s">
        <v>530</v>
      </c>
      <c r="E219" s="14" t="s">
        <v>531</v>
      </c>
      <c r="F219" s="13" t="s">
        <v>532</v>
      </c>
      <c r="G219" s="13" t="str">
        <f>IFERROR(INDEX(Web!$G:$G,MATCH(F219,Web!#REF!,0)),"")</f>
        <v/>
      </c>
      <c r="H219" s="13" t="s">
        <v>99</v>
      </c>
    </row>
    <row r="220" spans="1:8" x14ac:dyDescent="0.3">
      <c r="A220" s="13" t="str">
        <f t="shared" si="10"/>
        <v>☐</v>
      </c>
      <c r="B220" s="13">
        <v>205</v>
      </c>
      <c r="C220" s="13" t="s">
        <v>2</v>
      </c>
      <c r="D220" s="14" t="s">
        <v>533</v>
      </c>
      <c r="E220" s="14" t="s">
        <v>534</v>
      </c>
      <c r="F220" s="13" t="s">
        <v>535</v>
      </c>
      <c r="G220" s="13" t="str">
        <f>IFERROR(INDEX(Web!$G:$G,MATCH(F220,Web!#REF!,0)),"")</f>
        <v/>
      </c>
      <c r="H220" s="13" t="s">
        <v>99</v>
      </c>
    </row>
    <row r="221" spans="1:8" x14ac:dyDescent="0.3">
      <c r="A221" s="13" t="str">
        <f t="shared" si="10"/>
        <v>☐</v>
      </c>
      <c r="B221" s="13">
        <v>206</v>
      </c>
      <c r="C221" s="13" t="s">
        <v>2</v>
      </c>
      <c r="D221" s="14" t="s">
        <v>536</v>
      </c>
      <c r="E221" s="14" t="s">
        <v>537</v>
      </c>
      <c r="F221" s="13" t="s">
        <v>538</v>
      </c>
      <c r="G221" s="13" t="str">
        <f>IFERROR(INDEX(Web!$G:$G,MATCH(F221,Web!#REF!,0)),"")</f>
        <v/>
      </c>
      <c r="H221" s="13" t="s">
        <v>99</v>
      </c>
    </row>
    <row r="222" spans="1:8" x14ac:dyDescent="0.3">
      <c r="A222" s="13" t="str">
        <f t="shared" si="10"/>
        <v>☐</v>
      </c>
      <c r="B222" s="13">
        <v>207</v>
      </c>
      <c r="C222" s="13" t="s">
        <v>2</v>
      </c>
      <c r="D222" s="14" t="s">
        <v>539</v>
      </c>
      <c r="E222" s="14" t="s">
        <v>540</v>
      </c>
      <c r="F222" s="13" t="s">
        <v>541</v>
      </c>
      <c r="G222" s="13" t="str">
        <f>IFERROR(INDEX(Web!$G:$G,MATCH(F222,Web!#REF!,0)),"")</f>
        <v/>
      </c>
      <c r="H222" s="13" t="s">
        <v>99</v>
      </c>
    </row>
    <row r="223" spans="1:8" ht="26.4" x14ac:dyDescent="0.3">
      <c r="A223" s="13" t="str">
        <f t="shared" si="10"/>
        <v>☐</v>
      </c>
      <c r="B223" s="13">
        <v>208</v>
      </c>
      <c r="C223" s="13" t="s">
        <v>2</v>
      </c>
      <c r="D223" s="14" t="s">
        <v>542</v>
      </c>
      <c r="E223" s="14" t="s">
        <v>543</v>
      </c>
      <c r="F223" s="13" t="s">
        <v>544</v>
      </c>
      <c r="G223" s="13" t="str">
        <f>IFERROR(INDEX(Web!$G:$G,MATCH(F223,Web!#REF!,0)),"")</f>
        <v/>
      </c>
      <c r="H223" s="13" t="s">
        <v>99</v>
      </c>
    </row>
    <row r="224" spans="1:8" x14ac:dyDescent="0.3">
      <c r="A224" s="13" t="str">
        <f t="shared" si="10"/>
        <v>☐</v>
      </c>
      <c r="B224" s="13">
        <v>209</v>
      </c>
      <c r="C224" s="13" t="s">
        <v>2</v>
      </c>
      <c r="D224" s="14" t="s">
        <v>545</v>
      </c>
      <c r="E224" s="14" t="s">
        <v>546</v>
      </c>
      <c r="F224" s="13" t="s">
        <v>547</v>
      </c>
      <c r="G224" s="13" t="str">
        <f>IFERROR(INDEX(Web!$G:$G,MATCH(F224,Web!#REF!,0)),"")</f>
        <v/>
      </c>
      <c r="H224" s="13" t="s">
        <v>99</v>
      </c>
    </row>
    <row r="225" spans="1:8" x14ac:dyDescent="0.3">
      <c r="A225" s="13" t="str">
        <f t="shared" si="10"/>
        <v>☐</v>
      </c>
      <c r="B225" s="13">
        <v>210</v>
      </c>
      <c r="C225" s="13" t="s">
        <v>2</v>
      </c>
      <c r="D225" s="14" t="s">
        <v>548</v>
      </c>
      <c r="E225" s="14" t="s">
        <v>549</v>
      </c>
      <c r="F225" s="13" t="s">
        <v>550</v>
      </c>
      <c r="G225" s="13" t="str">
        <f>IFERROR(INDEX(Web!$G:$G,MATCH(F225,Web!#REF!,0)),"")</f>
        <v/>
      </c>
      <c r="H225" s="13" t="s">
        <v>99</v>
      </c>
    </row>
    <row r="226" spans="1:8" x14ac:dyDescent="0.3">
      <c r="A226" s="13" t="str">
        <f t="shared" si="10"/>
        <v>☐</v>
      </c>
      <c r="B226" s="13">
        <v>211</v>
      </c>
      <c r="C226" s="13" t="s">
        <v>2</v>
      </c>
      <c r="D226" s="14" t="s">
        <v>551</v>
      </c>
      <c r="E226" s="14" t="s">
        <v>552</v>
      </c>
      <c r="F226" s="13" t="s">
        <v>553</v>
      </c>
      <c r="G226" s="13" t="str">
        <f>IFERROR(INDEX(Web!$G:$G,MATCH(F226,Web!#REF!,0)),"")</f>
        <v/>
      </c>
      <c r="H226" s="13" t="s">
        <v>51</v>
      </c>
    </row>
    <row r="227" spans="1:8" x14ac:dyDescent="0.3">
      <c r="A227" s="13" t="str">
        <f t="shared" si="10"/>
        <v>☐</v>
      </c>
      <c r="B227" s="13">
        <v>212</v>
      </c>
      <c r="C227" s="13" t="s">
        <v>2</v>
      </c>
      <c r="D227" s="14" t="s">
        <v>551</v>
      </c>
      <c r="E227" s="14" t="s">
        <v>554</v>
      </c>
      <c r="F227" s="13" t="s">
        <v>555</v>
      </c>
      <c r="G227" s="13" t="str">
        <f>IFERROR(INDEX(Web!$G:$G,MATCH(F227,Web!#REF!,0)),"")</f>
        <v/>
      </c>
      <c r="H227" s="13" t="s">
        <v>54</v>
      </c>
    </row>
    <row r="228" spans="1:8" x14ac:dyDescent="0.3">
      <c r="A228" s="13" t="str">
        <f t="shared" si="10"/>
        <v>☐</v>
      </c>
      <c r="B228" s="13">
        <v>213</v>
      </c>
      <c r="C228" s="13" t="s">
        <v>2</v>
      </c>
      <c r="D228" s="14" t="s">
        <v>556</v>
      </c>
      <c r="E228" s="14" t="s">
        <v>557</v>
      </c>
      <c r="F228" s="13" t="s">
        <v>558</v>
      </c>
      <c r="G228" s="13" t="str">
        <f>IFERROR(INDEX(Web!$G:$G,MATCH(F228,Web!#REF!,0)),"")</f>
        <v/>
      </c>
      <c r="H228" s="13" t="s">
        <v>51</v>
      </c>
    </row>
    <row r="229" spans="1:8" x14ac:dyDescent="0.3">
      <c r="A229" s="13" t="str">
        <f t="shared" si="10"/>
        <v>☐</v>
      </c>
      <c r="B229" s="13">
        <v>214</v>
      </c>
      <c r="C229" s="13" t="s">
        <v>24</v>
      </c>
      <c r="D229" s="14" t="s">
        <v>559</v>
      </c>
      <c r="E229" s="14" t="s">
        <v>528</v>
      </c>
      <c r="F229" s="13" t="s">
        <v>560</v>
      </c>
      <c r="G229" s="13" t="str">
        <f>IFERROR(INDEX(App!$L:$L,MATCH(F229,App!$A:$A,0)),"")</f>
        <v>Chưa test</v>
      </c>
      <c r="H229" s="13" t="s">
        <v>51</v>
      </c>
    </row>
    <row r="230" spans="1:8" x14ac:dyDescent="0.3">
      <c r="A230" s="13" t="str">
        <f t="shared" si="10"/>
        <v>☐</v>
      </c>
      <c r="B230" s="13">
        <v>215</v>
      </c>
      <c r="C230" s="13" t="s">
        <v>24</v>
      </c>
      <c r="D230" s="14" t="s">
        <v>559</v>
      </c>
      <c r="E230" s="14" t="s">
        <v>561</v>
      </c>
      <c r="F230" s="13" t="s">
        <v>562</v>
      </c>
      <c r="G230" s="13" t="str">
        <f>IFERROR(INDEX(App!$L:$L,MATCH(F230,App!$A:$A,0)),"")</f>
        <v>Chưa test</v>
      </c>
      <c r="H230" s="13" t="s">
        <v>54</v>
      </c>
    </row>
    <row r="231" spans="1:8" x14ac:dyDescent="0.3">
      <c r="A231" s="13" t="str">
        <f t="shared" si="10"/>
        <v>☐</v>
      </c>
      <c r="B231" s="13">
        <v>216</v>
      </c>
      <c r="C231" s="13" t="s">
        <v>24</v>
      </c>
      <c r="D231" s="14" t="s">
        <v>563</v>
      </c>
      <c r="E231" s="14" t="s">
        <v>564</v>
      </c>
      <c r="F231" s="13" t="s">
        <v>565</v>
      </c>
      <c r="G231" s="13" t="str">
        <f>IFERROR(INDEX(App!$L:$L,MATCH(F231,App!$A:$A,0)),"")</f>
        <v>Chưa test</v>
      </c>
      <c r="H231" s="13" t="s">
        <v>51</v>
      </c>
    </row>
    <row r="232" spans="1:8" x14ac:dyDescent="0.3">
      <c r="A232" s="13" t="str">
        <f t="shared" si="10"/>
        <v>☐</v>
      </c>
      <c r="B232" s="13">
        <v>217</v>
      </c>
      <c r="C232" s="13" t="s">
        <v>24</v>
      </c>
      <c r="D232" s="14" t="s">
        <v>563</v>
      </c>
      <c r="E232" s="14" t="s">
        <v>566</v>
      </c>
      <c r="F232" s="13" t="s">
        <v>567</v>
      </c>
      <c r="G232" s="13" t="str">
        <f>IFERROR(INDEX(App!$L:$L,MATCH(F232,App!$A:$A,0)),"")</f>
        <v>Chưa test</v>
      </c>
      <c r="H232" s="13" t="s">
        <v>54</v>
      </c>
    </row>
    <row r="233" spans="1:8" x14ac:dyDescent="0.3">
      <c r="A233" s="13" t="str">
        <f t="shared" si="10"/>
        <v>☐</v>
      </c>
      <c r="B233" s="13">
        <v>218</v>
      </c>
      <c r="C233" s="13" t="s">
        <v>24</v>
      </c>
      <c r="D233" s="14" t="s">
        <v>568</v>
      </c>
      <c r="E233" s="14" t="s">
        <v>569</v>
      </c>
      <c r="F233" s="13" t="s">
        <v>570</v>
      </c>
      <c r="G233" s="13" t="str">
        <f>IFERROR(INDEX(App!$L:$L,MATCH(F233,App!$A:$A,0)),"")</f>
        <v>Chưa test</v>
      </c>
      <c r="H233" s="13" t="s">
        <v>54</v>
      </c>
    </row>
    <row r="234" spans="1:8" x14ac:dyDescent="0.3">
      <c r="A234" s="13" t="str">
        <f t="shared" si="10"/>
        <v>☐</v>
      </c>
      <c r="B234" s="13">
        <v>219</v>
      </c>
      <c r="C234" s="13" t="s">
        <v>24</v>
      </c>
      <c r="D234" s="14" t="s">
        <v>571</v>
      </c>
      <c r="E234" s="14" t="s">
        <v>572</v>
      </c>
      <c r="F234" s="13" t="s">
        <v>573</v>
      </c>
      <c r="G234" s="13" t="str">
        <f>IFERROR(INDEX(App!$L:$L,MATCH(F234,App!$A:$A,0)),"")</f>
        <v>Chưa test</v>
      </c>
      <c r="H234" s="13" t="s">
        <v>51</v>
      </c>
    </row>
    <row r="235" spans="1:8" x14ac:dyDescent="0.3">
      <c r="A235" s="13" t="str">
        <f t="shared" si="10"/>
        <v>☐</v>
      </c>
      <c r="B235" s="13">
        <v>220</v>
      </c>
      <c r="C235" s="13" t="s">
        <v>24</v>
      </c>
      <c r="D235" s="14" t="s">
        <v>314</v>
      </c>
      <c r="E235" s="14" t="s">
        <v>574</v>
      </c>
      <c r="F235" s="13" t="s">
        <v>575</v>
      </c>
      <c r="G235" s="13" t="str">
        <f>IFERROR(INDEX(App!$L:$L,MATCH(F235,App!$A:$A,0)),"")</f>
        <v>Chưa test</v>
      </c>
      <c r="H235" s="13" t="s">
        <v>51</v>
      </c>
    </row>
    <row r="236" spans="1:8" x14ac:dyDescent="0.3">
      <c r="A236" s="13" t="str">
        <f t="shared" si="10"/>
        <v>☐</v>
      </c>
      <c r="B236" s="13">
        <v>221</v>
      </c>
      <c r="C236" s="13" t="s">
        <v>24</v>
      </c>
      <c r="D236" s="14" t="s">
        <v>317</v>
      </c>
      <c r="E236" s="14" t="s">
        <v>576</v>
      </c>
      <c r="F236" s="13" t="s">
        <v>577</v>
      </c>
      <c r="G236" s="13" t="str">
        <f>IFERROR(INDEX(App!$L:$L,MATCH(F236,App!$A:$A,0)),"")</f>
        <v>Chưa test</v>
      </c>
      <c r="H236" s="13" t="s">
        <v>54</v>
      </c>
    </row>
    <row r="237" spans="1:8" x14ac:dyDescent="0.3">
      <c r="A237" s="13" t="str">
        <f t="shared" si="10"/>
        <v>☐</v>
      </c>
      <c r="B237" s="13">
        <v>222</v>
      </c>
      <c r="C237" s="13" t="s">
        <v>24</v>
      </c>
      <c r="D237" s="14" t="s">
        <v>375</v>
      </c>
      <c r="E237" s="14" t="s">
        <v>578</v>
      </c>
      <c r="F237" s="13" t="s">
        <v>579</v>
      </c>
      <c r="G237" s="13" t="str">
        <f>IFERROR(INDEX(App!$L:$L,MATCH(F237,App!$A:$A,0)),"")</f>
        <v>Chưa test</v>
      </c>
      <c r="H237" s="13" t="s">
        <v>54</v>
      </c>
    </row>
    <row r="238" spans="1:8" x14ac:dyDescent="0.3">
      <c r="A238" s="13" t="str">
        <f t="shared" si="10"/>
        <v>☐</v>
      </c>
      <c r="B238" s="13">
        <v>223</v>
      </c>
      <c r="C238" s="13" t="s">
        <v>24</v>
      </c>
      <c r="D238" s="14" t="s">
        <v>378</v>
      </c>
      <c r="E238" s="14" t="s">
        <v>580</v>
      </c>
      <c r="F238" s="13" t="s">
        <v>581</v>
      </c>
      <c r="G238" s="13" t="str">
        <f>IFERROR(INDEX(App!$L:$L,MATCH(F238,App!$A:$A,0)),"")</f>
        <v>Chưa test</v>
      </c>
      <c r="H238" s="13" t="s">
        <v>99</v>
      </c>
    </row>
    <row r="239" spans="1:8" x14ac:dyDescent="0.3">
      <c r="A239" s="13" t="str">
        <f t="shared" si="10"/>
        <v>☐</v>
      </c>
      <c r="B239" s="13">
        <v>224</v>
      </c>
      <c r="C239" s="13" t="s">
        <v>24</v>
      </c>
      <c r="D239" s="14" t="s">
        <v>381</v>
      </c>
      <c r="E239" s="14" t="s">
        <v>582</v>
      </c>
      <c r="F239" s="13" t="s">
        <v>583</v>
      </c>
      <c r="G239" s="13" t="str">
        <f>IFERROR(INDEX(App!$L:$L,MATCH(F239,App!$A:$A,0)),"")</f>
        <v>Chưa test</v>
      </c>
      <c r="H239" s="13" t="s">
        <v>51</v>
      </c>
    </row>
    <row r="240" spans="1:8" x14ac:dyDescent="0.3">
      <c r="A240" s="13" t="str">
        <f t="shared" si="10"/>
        <v>☐</v>
      </c>
      <c r="B240" s="13">
        <v>225</v>
      </c>
      <c r="C240" s="13" t="s">
        <v>24</v>
      </c>
      <c r="D240" s="14" t="s">
        <v>584</v>
      </c>
      <c r="E240" s="14" t="s">
        <v>585</v>
      </c>
      <c r="F240" s="13" t="s">
        <v>586</v>
      </c>
      <c r="G240" s="13" t="str">
        <f>IFERROR(INDEX(App!$L:$L,MATCH(F240,App!$A:$A,0)),"")</f>
        <v>Chưa test</v>
      </c>
      <c r="H240" s="13" t="s">
        <v>54</v>
      </c>
    </row>
    <row r="241" spans="1:8" x14ac:dyDescent="0.3">
      <c r="A241" s="13" t="str">
        <f t="shared" si="10"/>
        <v>☐</v>
      </c>
      <c r="B241" s="13">
        <v>226</v>
      </c>
      <c r="C241" s="13" t="s">
        <v>24</v>
      </c>
      <c r="D241" s="14" t="s">
        <v>410</v>
      </c>
      <c r="E241" s="14" t="s">
        <v>587</v>
      </c>
      <c r="F241" s="13" t="s">
        <v>588</v>
      </c>
      <c r="G241" s="13" t="str">
        <f>IFERROR(INDEX(App!$L:$L,MATCH(F241,App!$A:$A,0)),"")</f>
        <v>Chưa test</v>
      </c>
      <c r="H241" s="13" t="s">
        <v>51</v>
      </c>
    </row>
    <row r="242" spans="1:8" x14ac:dyDescent="0.3">
      <c r="A242" s="13" t="str">
        <f t="shared" si="10"/>
        <v>☐</v>
      </c>
      <c r="B242" s="13">
        <v>227</v>
      </c>
      <c r="C242" s="13" t="s">
        <v>24</v>
      </c>
      <c r="D242" s="14" t="s">
        <v>446</v>
      </c>
      <c r="E242" s="14" t="s">
        <v>589</v>
      </c>
      <c r="F242" s="13" t="s">
        <v>590</v>
      </c>
      <c r="G242" s="13" t="str">
        <f>IFERROR(INDEX(App!$L:$L,MATCH(F242,App!$A:$A,0)),"")</f>
        <v>Chưa test</v>
      </c>
      <c r="H242" s="13" t="s">
        <v>51</v>
      </c>
    </row>
    <row r="243" spans="1:8" x14ac:dyDescent="0.3">
      <c r="A243" s="13" t="str">
        <f t="shared" si="10"/>
        <v>☐</v>
      </c>
      <c r="B243" s="13">
        <v>228</v>
      </c>
      <c r="C243" s="13" t="s">
        <v>24</v>
      </c>
      <c r="D243" s="14" t="s">
        <v>591</v>
      </c>
      <c r="E243" s="14" t="s">
        <v>592</v>
      </c>
      <c r="F243" s="13" t="s">
        <v>593</v>
      </c>
      <c r="G243" s="13" t="str">
        <f>IFERROR(INDEX(App!$L:$L,MATCH(F243,App!$A:$A,0)),"")</f>
        <v>Chưa test</v>
      </c>
      <c r="H243" s="13" t="s">
        <v>99</v>
      </c>
    </row>
    <row r="244" spans="1:8" x14ac:dyDescent="0.3">
      <c r="A244" s="13" t="str">
        <f t="shared" si="10"/>
        <v>☐</v>
      </c>
      <c r="B244" s="13">
        <v>229</v>
      </c>
      <c r="C244" s="13" t="s">
        <v>24</v>
      </c>
      <c r="D244" s="14" t="s">
        <v>457</v>
      </c>
      <c r="E244" s="14" t="s">
        <v>594</v>
      </c>
      <c r="F244" s="13" t="s">
        <v>595</v>
      </c>
      <c r="G244" s="13" t="str">
        <f>IFERROR(INDEX(App!$L:$L,MATCH(F244,App!$A:$A,0)),"")</f>
        <v>Chưa test</v>
      </c>
      <c r="H244" s="13" t="s">
        <v>54</v>
      </c>
    </row>
    <row r="245" spans="1:8" x14ac:dyDescent="0.3">
      <c r="A245" s="13" t="str">
        <f t="shared" si="10"/>
        <v>☐</v>
      </c>
      <c r="B245" s="13">
        <v>230</v>
      </c>
      <c r="C245" s="13" t="s">
        <v>24</v>
      </c>
      <c r="D245" s="14" t="s">
        <v>556</v>
      </c>
      <c r="E245" s="14" t="s">
        <v>596</v>
      </c>
      <c r="F245" s="13" t="s">
        <v>597</v>
      </c>
      <c r="G245" s="13" t="str">
        <f>IFERROR(INDEX(App!$L:$L,MATCH(F245,App!$A:$A,0)),"")</f>
        <v>Chưa test</v>
      </c>
      <c r="H245" s="13" t="s">
        <v>51</v>
      </c>
    </row>
    <row r="246" spans="1:8" x14ac:dyDescent="0.3">
      <c r="A246" s="12" t="s">
        <v>21</v>
      </c>
      <c r="B246" s="12"/>
      <c r="C246" s="12"/>
      <c r="D246" s="12"/>
      <c r="E246" s="12"/>
      <c r="F246" s="12"/>
      <c r="G246" s="12" t="str">
        <f>COUNTIF(G247:G258,"Đạt")&amp;"/12 đạt"</f>
        <v>0/12 đạt</v>
      </c>
      <c r="H246" s="12"/>
    </row>
    <row r="247" spans="1:8" x14ac:dyDescent="0.3">
      <c r="A247" s="13" t="str">
        <f t="shared" ref="A247:A258" si="11">IF(G247="Đạt","☑",IF(G247="Lỗi","✗",IF(G247="Bỏ qua","–","☐")))</f>
        <v>☐</v>
      </c>
      <c r="B247" s="13">
        <v>231</v>
      </c>
      <c r="C247" s="13" t="s">
        <v>2</v>
      </c>
      <c r="D247" s="14" t="s">
        <v>598</v>
      </c>
      <c r="E247" s="14" t="s">
        <v>599</v>
      </c>
      <c r="F247" s="13" t="s">
        <v>600</v>
      </c>
      <c r="G247" s="13" t="str">
        <f>IFERROR(INDEX(Web!$G:$G,MATCH(F247,Web!#REF!,0)),"")</f>
        <v/>
      </c>
      <c r="H247" s="13" t="s">
        <v>54</v>
      </c>
    </row>
    <row r="248" spans="1:8" x14ac:dyDescent="0.3">
      <c r="A248" s="13" t="str">
        <f t="shared" si="11"/>
        <v>☐</v>
      </c>
      <c r="B248" s="13">
        <v>232</v>
      </c>
      <c r="C248" s="13" t="s">
        <v>2</v>
      </c>
      <c r="D248" s="14" t="s">
        <v>601</v>
      </c>
      <c r="E248" s="14" t="s">
        <v>602</v>
      </c>
      <c r="F248" s="13" t="s">
        <v>603</v>
      </c>
      <c r="G248" s="13" t="str">
        <f>IFERROR(INDEX(Web!$G:$G,MATCH(F248,Web!#REF!,0)),"")</f>
        <v/>
      </c>
      <c r="H248" s="13" t="s">
        <v>51</v>
      </c>
    </row>
    <row r="249" spans="1:8" x14ac:dyDescent="0.3">
      <c r="A249" s="13" t="str">
        <f t="shared" si="11"/>
        <v>☐</v>
      </c>
      <c r="B249" s="13">
        <v>233</v>
      </c>
      <c r="C249" s="13" t="s">
        <v>2</v>
      </c>
      <c r="D249" s="14" t="s">
        <v>601</v>
      </c>
      <c r="E249" s="14" t="s">
        <v>604</v>
      </c>
      <c r="F249" s="13" t="s">
        <v>605</v>
      </c>
      <c r="G249" s="13" t="str">
        <f>IFERROR(INDEX(Web!$G:$G,MATCH(F249,Web!#REF!,0)),"")</f>
        <v/>
      </c>
      <c r="H249" s="13" t="s">
        <v>51</v>
      </c>
    </row>
    <row r="250" spans="1:8" x14ac:dyDescent="0.3">
      <c r="A250" s="13" t="str">
        <f t="shared" si="11"/>
        <v>☐</v>
      </c>
      <c r="B250" s="13">
        <v>234</v>
      </c>
      <c r="C250" s="13" t="s">
        <v>2</v>
      </c>
      <c r="D250" s="14" t="s">
        <v>601</v>
      </c>
      <c r="E250" s="14" t="s">
        <v>606</v>
      </c>
      <c r="F250" s="13" t="s">
        <v>607</v>
      </c>
      <c r="G250" s="13" t="str">
        <f>IFERROR(INDEX(Web!$G:$G,MATCH(F250,Web!#REF!,0)),"")</f>
        <v/>
      </c>
      <c r="H250" s="13" t="s">
        <v>51</v>
      </c>
    </row>
    <row r="251" spans="1:8" x14ac:dyDescent="0.3">
      <c r="A251" s="13" t="str">
        <f t="shared" si="11"/>
        <v>☐</v>
      </c>
      <c r="B251" s="13">
        <v>235</v>
      </c>
      <c r="C251" s="13" t="s">
        <v>2</v>
      </c>
      <c r="D251" s="14" t="s">
        <v>608</v>
      </c>
      <c r="E251" s="14" t="s">
        <v>609</v>
      </c>
      <c r="F251" s="13" t="s">
        <v>610</v>
      </c>
      <c r="G251" s="13" t="str">
        <f>IFERROR(INDEX(Web!$G:$G,MATCH(F251,Web!#REF!,0)),"")</f>
        <v/>
      </c>
      <c r="H251" s="13" t="s">
        <v>54</v>
      </c>
    </row>
    <row r="252" spans="1:8" x14ac:dyDescent="0.3">
      <c r="A252" s="13" t="str">
        <f t="shared" si="11"/>
        <v>☐</v>
      </c>
      <c r="B252" s="13">
        <v>236</v>
      </c>
      <c r="C252" s="13" t="s">
        <v>2</v>
      </c>
      <c r="D252" s="14" t="s">
        <v>611</v>
      </c>
      <c r="E252" s="14" t="s">
        <v>612</v>
      </c>
      <c r="F252" s="13" t="s">
        <v>613</v>
      </c>
      <c r="G252" s="13" t="str">
        <f>IFERROR(INDEX(Web!$G:$G,MATCH(F252,Web!#REF!,0)),"")</f>
        <v/>
      </c>
      <c r="H252" s="13" t="s">
        <v>54</v>
      </c>
    </row>
    <row r="253" spans="1:8" x14ac:dyDescent="0.3">
      <c r="A253" s="13" t="str">
        <f t="shared" si="11"/>
        <v>☐</v>
      </c>
      <c r="B253" s="13">
        <v>237</v>
      </c>
      <c r="C253" s="13" t="s">
        <v>2</v>
      </c>
      <c r="D253" s="14" t="s">
        <v>611</v>
      </c>
      <c r="E253" s="14" t="s">
        <v>614</v>
      </c>
      <c r="F253" s="13" t="s">
        <v>615</v>
      </c>
      <c r="G253" s="13" t="str">
        <f>IFERROR(INDEX(Web!$G:$G,MATCH(F253,Web!#REF!,0)),"")</f>
        <v/>
      </c>
      <c r="H253" s="13" t="s">
        <v>51</v>
      </c>
    </row>
    <row r="254" spans="1:8" x14ac:dyDescent="0.3">
      <c r="A254" s="13" t="str">
        <f t="shared" si="11"/>
        <v>☐</v>
      </c>
      <c r="B254" s="13">
        <v>238</v>
      </c>
      <c r="C254" s="13" t="s">
        <v>2</v>
      </c>
      <c r="D254" s="14" t="s">
        <v>611</v>
      </c>
      <c r="E254" s="14" t="s">
        <v>616</v>
      </c>
      <c r="F254" s="13" t="s">
        <v>617</v>
      </c>
      <c r="G254" s="13" t="str">
        <f>IFERROR(INDEX(Web!$G:$G,MATCH(F254,Web!#REF!,0)),"")</f>
        <v/>
      </c>
      <c r="H254" s="13" t="s">
        <v>51</v>
      </c>
    </row>
    <row r="255" spans="1:8" x14ac:dyDescent="0.3">
      <c r="A255" s="13" t="str">
        <f t="shared" si="11"/>
        <v>☐</v>
      </c>
      <c r="B255" s="13">
        <v>239</v>
      </c>
      <c r="C255" s="13" t="s">
        <v>2</v>
      </c>
      <c r="D255" s="14" t="s">
        <v>611</v>
      </c>
      <c r="E255" s="14" t="s">
        <v>618</v>
      </c>
      <c r="F255" s="13" t="s">
        <v>619</v>
      </c>
      <c r="G255" s="13" t="str">
        <f>IFERROR(INDEX(Web!$G:$G,MATCH(F255,Web!#REF!,0)),"")</f>
        <v/>
      </c>
      <c r="H255" s="13" t="s">
        <v>51</v>
      </c>
    </row>
    <row r="256" spans="1:8" x14ac:dyDescent="0.3">
      <c r="A256" s="13" t="str">
        <f t="shared" si="11"/>
        <v>☐</v>
      </c>
      <c r="B256" s="13">
        <v>240</v>
      </c>
      <c r="C256" s="13" t="s">
        <v>2</v>
      </c>
      <c r="D256" s="14" t="s">
        <v>611</v>
      </c>
      <c r="E256" s="14" t="s">
        <v>620</v>
      </c>
      <c r="F256" s="13" t="s">
        <v>621</v>
      </c>
      <c r="G256" s="13" t="str">
        <f>IFERROR(INDEX(Web!$G:$G,MATCH(F256,Web!#REF!,0)),"")</f>
        <v/>
      </c>
      <c r="H256" s="13" t="s">
        <v>54</v>
      </c>
    </row>
    <row r="257" spans="1:8" x14ac:dyDescent="0.3">
      <c r="A257" s="13" t="str">
        <f t="shared" si="11"/>
        <v>☐</v>
      </c>
      <c r="B257" s="13">
        <v>241</v>
      </c>
      <c r="C257" s="13" t="s">
        <v>2</v>
      </c>
      <c r="D257" s="14" t="s">
        <v>611</v>
      </c>
      <c r="E257" s="14" t="s">
        <v>622</v>
      </c>
      <c r="F257" s="13" t="s">
        <v>623</v>
      </c>
      <c r="G257" s="13" t="str">
        <f>IFERROR(INDEX(Web!$G:$G,MATCH(F257,Web!#REF!,0)),"")</f>
        <v/>
      </c>
      <c r="H257" s="13" t="s">
        <v>51</v>
      </c>
    </row>
    <row r="258" spans="1:8" x14ac:dyDescent="0.3">
      <c r="A258" s="13" t="str">
        <f t="shared" si="11"/>
        <v>☐</v>
      </c>
      <c r="B258" s="13">
        <v>242</v>
      </c>
      <c r="C258" s="13" t="s">
        <v>2</v>
      </c>
      <c r="D258" s="14" t="s">
        <v>624</v>
      </c>
      <c r="E258" s="14" t="s">
        <v>625</v>
      </c>
      <c r="F258" s="13" t="s">
        <v>626</v>
      </c>
      <c r="G258" s="13" t="str">
        <f>IFERROR(INDEX(Web!$G:$G,MATCH(F258,Web!#REF!,0)),"")</f>
        <v/>
      </c>
      <c r="H258" s="13" t="s">
        <v>54</v>
      </c>
    </row>
    <row r="259" spans="1:8" x14ac:dyDescent="0.3">
      <c r="A259" s="12" t="s">
        <v>22</v>
      </c>
      <c r="B259" s="12"/>
      <c r="C259" s="12"/>
      <c r="D259" s="12"/>
      <c r="E259" s="12"/>
      <c r="F259" s="12"/>
      <c r="G259" s="12" t="str">
        <f>COUNTIF(G260:G262,"Đạt")&amp;"/3 đạt"</f>
        <v>0/3 đạt</v>
      </c>
      <c r="H259" s="12"/>
    </row>
    <row r="260" spans="1:8" x14ac:dyDescent="0.3">
      <c r="A260" s="13" t="str">
        <f>IF(G260="Đạt","☑",IF(G260="Lỗi","✗",IF(G260="Bỏ qua","–","☐")))</f>
        <v>☐</v>
      </c>
      <c r="B260" s="13">
        <v>243</v>
      </c>
      <c r="C260" s="13" t="s">
        <v>2</v>
      </c>
      <c r="D260" s="14" t="s">
        <v>627</v>
      </c>
      <c r="E260" s="14" t="s">
        <v>628</v>
      </c>
      <c r="F260" s="13" t="s">
        <v>629</v>
      </c>
      <c r="G260" s="13" t="str">
        <f>IFERROR(INDEX(Web!$G:$G,MATCH(F260,Web!#REF!,0)),"")</f>
        <v/>
      </c>
      <c r="H260" s="13" t="s">
        <v>51</v>
      </c>
    </row>
    <row r="261" spans="1:8" x14ac:dyDescent="0.3">
      <c r="A261" s="13" t="str">
        <f>IF(G261="Đạt","☑",IF(G261="Lỗi","✗",IF(G261="Bỏ qua","–","☐")))</f>
        <v>☐</v>
      </c>
      <c r="B261" s="13">
        <v>244</v>
      </c>
      <c r="C261" s="13" t="s">
        <v>2</v>
      </c>
      <c r="D261" s="14" t="s">
        <v>20</v>
      </c>
      <c r="E261" s="14" t="s">
        <v>630</v>
      </c>
      <c r="F261" s="13" t="s">
        <v>631</v>
      </c>
      <c r="G261" s="13" t="str">
        <f>IFERROR(INDEX(Web!$G:$G,MATCH(F261,Web!#REF!,0)),"")</f>
        <v/>
      </c>
      <c r="H261" s="13" t="s">
        <v>54</v>
      </c>
    </row>
    <row r="262" spans="1:8" x14ac:dyDescent="0.3">
      <c r="A262" s="13" t="str">
        <f>IF(G262="Đạt","☑",IF(G262="Lỗi","✗",IF(G262="Bỏ qua","–","☐")))</f>
        <v>☐</v>
      </c>
      <c r="B262" s="13">
        <v>245</v>
      </c>
      <c r="C262" s="13" t="s">
        <v>24</v>
      </c>
      <c r="D262" s="14" t="s">
        <v>627</v>
      </c>
      <c r="E262" s="14" t="s">
        <v>632</v>
      </c>
      <c r="F262" s="13" t="s">
        <v>633</v>
      </c>
      <c r="G262" s="13" t="str">
        <f>IFERROR(INDEX(App!$L:$L,MATCH(F262,App!$A:$A,0)),"")</f>
        <v>Chưa test</v>
      </c>
      <c r="H262" s="13" t="s">
        <v>51</v>
      </c>
    </row>
    <row r="263" spans="1:8" x14ac:dyDescent="0.3">
      <c r="A263" s="12" t="s">
        <v>25</v>
      </c>
      <c r="B263" s="12"/>
      <c r="C263" s="12"/>
      <c r="D263" s="12"/>
      <c r="E263" s="12"/>
      <c r="F263" s="12"/>
      <c r="G263" s="12" t="str">
        <f>COUNTIF(G264:G265,"Đạt")&amp;"/2 đạt"</f>
        <v>0/2 đạt</v>
      </c>
      <c r="H263" s="12"/>
    </row>
    <row r="264" spans="1:8" x14ac:dyDescent="0.3">
      <c r="A264" s="13" t="str">
        <f>IF(G264="Đạt","☑",IF(G264="Lỗi","✗",IF(G264="Bỏ qua","–","☐")))</f>
        <v>☐</v>
      </c>
      <c r="B264" s="13">
        <v>246</v>
      </c>
      <c r="C264" s="13" t="s">
        <v>24</v>
      </c>
      <c r="D264" s="14" t="s">
        <v>25</v>
      </c>
      <c r="E264" s="14" t="s">
        <v>634</v>
      </c>
      <c r="F264" s="13" t="s">
        <v>635</v>
      </c>
      <c r="G264" s="13" t="str">
        <f>IFERROR(INDEX(App!$L:$L,MATCH(F264,App!$A:$A,0)),"")</f>
        <v>Chưa test</v>
      </c>
      <c r="H264" s="13" t="s">
        <v>54</v>
      </c>
    </row>
    <row r="265" spans="1:8" x14ac:dyDescent="0.3">
      <c r="A265" s="13" t="str">
        <f>IF(G265="Đạt","☑",IF(G265="Lỗi","✗",IF(G265="Bỏ qua","–","☐")))</f>
        <v>☐</v>
      </c>
      <c r="B265" s="13">
        <v>247</v>
      </c>
      <c r="C265" s="13" t="s">
        <v>24</v>
      </c>
      <c r="D265" s="14" t="s">
        <v>25</v>
      </c>
      <c r="E265" s="14" t="s">
        <v>636</v>
      </c>
      <c r="F265" s="13" t="s">
        <v>637</v>
      </c>
      <c r="G265" s="13" t="str">
        <f>IFERROR(INDEX(App!$L:$L,MATCH(F265,App!$A:$A,0)),"")</f>
        <v>Chưa test</v>
      </c>
      <c r="H265" s="13" t="s">
        <v>54</v>
      </c>
    </row>
    <row r="266" spans="1:8" x14ac:dyDescent="0.3">
      <c r="A266" s="12" t="s">
        <v>26</v>
      </c>
      <c r="B266" s="12"/>
      <c r="C266" s="12"/>
      <c r="D266" s="12"/>
      <c r="E266" s="12"/>
      <c r="F266" s="12"/>
      <c r="G266" s="12" t="str">
        <f>COUNTIF(G267:G289,"Đạt")&amp;"/23 đạt"</f>
        <v>0/23 đạt</v>
      </c>
      <c r="H266" s="12"/>
    </row>
    <row r="267" spans="1:8" x14ac:dyDescent="0.3">
      <c r="A267" s="13" t="str">
        <f t="shared" ref="A267:A289" si="12">IF(G267="Đạt","☑",IF(G267="Lỗi","✗",IF(G267="Bỏ qua","–","☐")))</f>
        <v>☐</v>
      </c>
      <c r="B267" s="13">
        <v>248</v>
      </c>
      <c r="C267" s="13" t="s">
        <v>24</v>
      </c>
      <c r="D267" s="14" t="s">
        <v>26</v>
      </c>
      <c r="E267" s="14" t="s">
        <v>638</v>
      </c>
      <c r="F267" s="13" t="s">
        <v>639</v>
      </c>
      <c r="G267" s="13" t="str">
        <f>IFERROR(INDEX(App!$L:$L,MATCH(F267,App!$A:$A,0)),"")</f>
        <v>Chưa test</v>
      </c>
      <c r="H267" s="13" t="s">
        <v>51</v>
      </c>
    </row>
    <row r="268" spans="1:8" x14ac:dyDescent="0.3">
      <c r="A268" s="13" t="str">
        <f t="shared" si="12"/>
        <v>☐</v>
      </c>
      <c r="B268" s="13">
        <v>249</v>
      </c>
      <c r="C268" s="13" t="s">
        <v>24</v>
      </c>
      <c r="D268" s="14" t="s">
        <v>26</v>
      </c>
      <c r="E268" s="14" t="s">
        <v>640</v>
      </c>
      <c r="F268" s="13" t="s">
        <v>641</v>
      </c>
      <c r="G268" s="13" t="str">
        <f>IFERROR(INDEX(App!$L:$L,MATCH(F268,App!$A:$A,0)),"")</f>
        <v>Chưa test</v>
      </c>
      <c r="H268" s="13" t="s">
        <v>54</v>
      </c>
    </row>
    <row r="269" spans="1:8" x14ac:dyDescent="0.3">
      <c r="A269" s="13" t="str">
        <f t="shared" si="12"/>
        <v>☐</v>
      </c>
      <c r="B269" s="13">
        <v>250</v>
      </c>
      <c r="C269" s="13" t="s">
        <v>24</v>
      </c>
      <c r="D269" s="14" t="s">
        <v>642</v>
      </c>
      <c r="E269" s="14" t="s">
        <v>643</v>
      </c>
      <c r="F269" s="13" t="s">
        <v>644</v>
      </c>
      <c r="G269" s="13" t="str">
        <f>IFERROR(INDEX(App!$L:$L,MATCH(F269,App!$A:$A,0)),"")</f>
        <v>Chưa test</v>
      </c>
      <c r="H269" s="13" t="s">
        <v>54</v>
      </c>
    </row>
    <row r="270" spans="1:8" x14ac:dyDescent="0.3">
      <c r="A270" s="13" t="str">
        <f t="shared" si="12"/>
        <v>☐</v>
      </c>
      <c r="B270" s="13">
        <v>251</v>
      </c>
      <c r="C270" s="13" t="s">
        <v>24</v>
      </c>
      <c r="D270" s="14" t="s">
        <v>645</v>
      </c>
      <c r="E270" s="14" t="s">
        <v>645</v>
      </c>
      <c r="F270" s="13" t="s">
        <v>646</v>
      </c>
      <c r="G270" s="13" t="str">
        <f>IFERROR(INDEX(App!$L:$L,MATCH(F270,App!$A:$A,0)),"")</f>
        <v>Chưa test</v>
      </c>
      <c r="H270" s="13" t="s">
        <v>99</v>
      </c>
    </row>
    <row r="271" spans="1:8" x14ac:dyDescent="0.3">
      <c r="A271" s="13" t="str">
        <f t="shared" si="12"/>
        <v>☐</v>
      </c>
      <c r="B271" s="13">
        <v>252</v>
      </c>
      <c r="C271" s="13" t="s">
        <v>24</v>
      </c>
      <c r="D271" s="14" t="s">
        <v>278</v>
      </c>
      <c r="E271" s="14" t="s">
        <v>647</v>
      </c>
      <c r="F271" s="13" t="s">
        <v>648</v>
      </c>
      <c r="G271" s="13" t="str">
        <f>IFERROR(INDEX(App!$L:$L,MATCH(F271,App!$A:$A,0)),"")</f>
        <v>Chưa test</v>
      </c>
      <c r="H271" s="13" t="s">
        <v>51</v>
      </c>
    </row>
    <row r="272" spans="1:8" x14ac:dyDescent="0.3">
      <c r="A272" s="13" t="str">
        <f t="shared" si="12"/>
        <v>☐</v>
      </c>
      <c r="B272" s="13">
        <v>253</v>
      </c>
      <c r="C272" s="13" t="s">
        <v>24</v>
      </c>
      <c r="D272" s="14" t="s">
        <v>278</v>
      </c>
      <c r="E272" s="14" t="s">
        <v>649</v>
      </c>
      <c r="F272" s="13" t="s">
        <v>650</v>
      </c>
      <c r="G272" s="13" t="str">
        <f>IFERROR(INDEX(App!$L:$L,MATCH(F272,App!$A:$A,0)),"")</f>
        <v>Chưa test</v>
      </c>
      <c r="H272" s="13" t="s">
        <v>54</v>
      </c>
    </row>
    <row r="273" spans="1:8" x14ac:dyDescent="0.3">
      <c r="A273" s="13" t="str">
        <f t="shared" si="12"/>
        <v>☐</v>
      </c>
      <c r="B273" s="13">
        <v>254</v>
      </c>
      <c r="C273" s="13" t="s">
        <v>24</v>
      </c>
      <c r="D273" s="14" t="s">
        <v>244</v>
      </c>
      <c r="E273" s="14" t="s">
        <v>651</v>
      </c>
      <c r="F273" s="13" t="s">
        <v>652</v>
      </c>
      <c r="G273" s="13" t="str">
        <f>IFERROR(INDEX(App!$L:$L,MATCH(F273,App!$A:$A,0)),"")</f>
        <v>Chưa test</v>
      </c>
      <c r="H273" s="13" t="s">
        <v>51</v>
      </c>
    </row>
    <row r="274" spans="1:8" x14ac:dyDescent="0.3">
      <c r="A274" s="13" t="str">
        <f t="shared" si="12"/>
        <v>☐</v>
      </c>
      <c r="B274" s="13">
        <v>255</v>
      </c>
      <c r="C274" s="13" t="s">
        <v>24</v>
      </c>
      <c r="D274" s="14" t="s">
        <v>653</v>
      </c>
      <c r="E274" s="14" t="s">
        <v>654</v>
      </c>
      <c r="F274" s="13" t="s">
        <v>655</v>
      </c>
      <c r="G274" s="13" t="str">
        <f>IFERROR(INDEX(App!$L:$L,MATCH(F274,App!$A:$A,0)),"")</f>
        <v>Chưa test</v>
      </c>
      <c r="H274" s="13" t="s">
        <v>54</v>
      </c>
    </row>
    <row r="275" spans="1:8" ht="26.4" x14ac:dyDescent="0.3">
      <c r="A275" s="13" t="str">
        <f t="shared" si="12"/>
        <v>☐</v>
      </c>
      <c r="B275" s="13">
        <v>256</v>
      </c>
      <c r="C275" s="13" t="s">
        <v>24</v>
      </c>
      <c r="D275" s="14" t="s">
        <v>656</v>
      </c>
      <c r="E275" s="14" t="s">
        <v>657</v>
      </c>
      <c r="F275" s="13" t="s">
        <v>658</v>
      </c>
      <c r="G275" s="13" t="str">
        <f>IFERROR(INDEX(App!$L:$L,MATCH(F275,App!$A:$A,0)),"")</f>
        <v>Chưa test</v>
      </c>
      <c r="H275" s="13" t="s">
        <v>99</v>
      </c>
    </row>
    <row r="276" spans="1:8" x14ac:dyDescent="0.3">
      <c r="A276" s="13" t="str">
        <f t="shared" si="12"/>
        <v>☐</v>
      </c>
      <c r="B276" s="13">
        <v>257</v>
      </c>
      <c r="C276" s="13" t="s">
        <v>24</v>
      </c>
      <c r="D276" s="14" t="s">
        <v>262</v>
      </c>
      <c r="E276" s="14" t="s">
        <v>263</v>
      </c>
      <c r="F276" s="13" t="s">
        <v>659</v>
      </c>
      <c r="G276" s="13" t="str">
        <f>IFERROR(INDEX(App!$L:$L,MATCH(F276,App!$A:$A,0)),"")</f>
        <v>Chưa test</v>
      </c>
      <c r="H276" s="13" t="s">
        <v>54</v>
      </c>
    </row>
    <row r="277" spans="1:8" x14ac:dyDescent="0.3">
      <c r="A277" s="13" t="str">
        <f t="shared" si="12"/>
        <v>☐</v>
      </c>
      <c r="B277" s="13">
        <v>258</v>
      </c>
      <c r="C277" s="13" t="s">
        <v>24</v>
      </c>
      <c r="D277" s="14" t="s">
        <v>213</v>
      </c>
      <c r="E277" s="14" t="s">
        <v>660</v>
      </c>
      <c r="F277" s="13" t="s">
        <v>661</v>
      </c>
      <c r="G277" s="13" t="str">
        <f>IFERROR(INDEX(App!$L:$L,MATCH(F277,App!$A:$A,0)),"")</f>
        <v>Chưa test</v>
      </c>
      <c r="H277" s="13" t="s">
        <v>51</v>
      </c>
    </row>
    <row r="278" spans="1:8" x14ac:dyDescent="0.3">
      <c r="A278" s="13" t="str">
        <f t="shared" si="12"/>
        <v>☐</v>
      </c>
      <c r="B278" s="13">
        <v>259</v>
      </c>
      <c r="C278" s="13" t="s">
        <v>24</v>
      </c>
      <c r="D278" s="14" t="s">
        <v>272</v>
      </c>
      <c r="E278" s="14" t="s">
        <v>662</v>
      </c>
      <c r="F278" s="13" t="s">
        <v>663</v>
      </c>
      <c r="G278" s="13" t="str">
        <f>IFERROR(INDEX(App!$L:$L,MATCH(F278,App!$A:$A,0)),"")</f>
        <v>Chưa test</v>
      </c>
      <c r="H278" s="13" t="s">
        <v>54</v>
      </c>
    </row>
    <row r="279" spans="1:8" ht="26.4" x14ac:dyDescent="0.3">
      <c r="A279" s="13" t="str">
        <f t="shared" si="12"/>
        <v>☐</v>
      </c>
      <c r="B279" s="13">
        <v>260</v>
      </c>
      <c r="C279" s="13" t="s">
        <v>24</v>
      </c>
      <c r="D279" s="14" t="s">
        <v>664</v>
      </c>
      <c r="E279" s="14" t="s">
        <v>665</v>
      </c>
      <c r="F279" s="13" t="s">
        <v>666</v>
      </c>
      <c r="G279" s="13" t="str">
        <f>IFERROR(INDEX(App!$L:$L,MATCH(F279,App!$A:$A,0)),"")</f>
        <v>Chưa test</v>
      </c>
      <c r="H279" s="13" t="s">
        <v>54</v>
      </c>
    </row>
    <row r="280" spans="1:8" x14ac:dyDescent="0.3">
      <c r="A280" s="13" t="str">
        <f t="shared" si="12"/>
        <v>☐</v>
      </c>
      <c r="B280" s="13">
        <v>261</v>
      </c>
      <c r="C280" s="13" t="s">
        <v>24</v>
      </c>
      <c r="D280" s="14" t="s">
        <v>239</v>
      </c>
      <c r="E280" s="14" t="s">
        <v>667</v>
      </c>
      <c r="F280" s="13" t="s">
        <v>668</v>
      </c>
      <c r="G280" s="13" t="str">
        <f>IFERROR(INDEX(App!$L:$L,MATCH(F280,App!$A:$A,0)),"")</f>
        <v>Chưa test</v>
      </c>
      <c r="H280" s="13" t="s">
        <v>51</v>
      </c>
    </row>
    <row r="281" spans="1:8" x14ac:dyDescent="0.3">
      <c r="A281" s="13" t="str">
        <f t="shared" si="12"/>
        <v>☐</v>
      </c>
      <c r="B281" s="13">
        <v>262</v>
      </c>
      <c r="C281" s="13" t="s">
        <v>24</v>
      </c>
      <c r="D281" s="14" t="s">
        <v>239</v>
      </c>
      <c r="E281" s="14" t="s">
        <v>669</v>
      </c>
      <c r="F281" s="13" t="s">
        <v>670</v>
      </c>
      <c r="G281" s="13" t="str">
        <f>IFERROR(INDEX(App!$L:$L,MATCH(F281,App!$A:$A,0)),"")</f>
        <v>Chưa test</v>
      </c>
      <c r="H281" s="13" t="s">
        <v>99</v>
      </c>
    </row>
    <row r="282" spans="1:8" x14ac:dyDescent="0.3">
      <c r="A282" s="13" t="str">
        <f t="shared" si="12"/>
        <v>☐</v>
      </c>
      <c r="B282" s="13">
        <v>263</v>
      </c>
      <c r="C282" s="13" t="s">
        <v>24</v>
      </c>
      <c r="D282" s="14" t="s">
        <v>671</v>
      </c>
      <c r="E282" s="14" t="s">
        <v>242</v>
      </c>
      <c r="F282" s="13" t="s">
        <v>672</v>
      </c>
      <c r="G282" s="13" t="str">
        <f>IFERROR(INDEX(App!$L:$L,MATCH(F282,App!$A:$A,0)),"")</f>
        <v>Chưa test</v>
      </c>
      <c r="H282" s="13" t="s">
        <v>51</v>
      </c>
    </row>
    <row r="283" spans="1:8" x14ac:dyDescent="0.3">
      <c r="A283" s="13" t="str">
        <f t="shared" si="12"/>
        <v>☐</v>
      </c>
      <c r="B283" s="13">
        <v>264</v>
      </c>
      <c r="C283" s="13" t="s">
        <v>24</v>
      </c>
      <c r="D283" s="14" t="s">
        <v>601</v>
      </c>
      <c r="E283" s="14" t="s">
        <v>673</v>
      </c>
      <c r="F283" s="13" t="s">
        <v>674</v>
      </c>
      <c r="G283" s="13" t="str">
        <f>IFERROR(INDEX(App!$L:$L,MATCH(F283,App!$A:$A,0)),"")</f>
        <v>Chưa test</v>
      </c>
      <c r="H283" s="13" t="s">
        <v>51</v>
      </c>
    </row>
    <row r="284" spans="1:8" x14ac:dyDescent="0.3">
      <c r="A284" s="13" t="str">
        <f t="shared" si="12"/>
        <v>☐</v>
      </c>
      <c r="B284" s="13">
        <v>265</v>
      </c>
      <c r="C284" s="13" t="s">
        <v>24</v>
      </c>
      <c r="D284" s="14" t="s">
        <v>601</v>
      </c>
      <c r="E284" s="14" t="s">
        <v>604</v>
      </c>
      <c r="F284" s="13" t="s">
        <v>675</v>
      </c>
      <c r="G284" s="13" t="str">
        <f>IFERROR(INDEX(App!$L:$L,MATCH(F284,App!$A:$A,0)),"")</f>
        <v>Chưa test</v>
      </c>
      <c r="H284" s="13" t="s">
        <v>54</v>
      </c>
    </row>
    <row r="285" spans="1:8" x14ac:dyDescent="0.3">
      <c r="A285" s="13" t="str">
        <f t="shared" si="12"/>
        <v>☐</v>
      </c>
      <c r="B285" s="13">
        <v>266</v>
      </c>
      <c r="C285" s="13" t="s">
        <v>24</v>
      </c>
      <c r="D285" s="14" t="s">
        <v>608</v>
      </c>
      <c r="E285" s="14" t="s">
        <v>608</v>
      </c>
      <c r="F285" s="13" t="s">
        <v>676</v>
      </c>
      <c r="G285" s="13" t="str">
        <f>IFERROR(INDEX(App!$L:$L,MATCH(F285,App!$A:$A,0)),"")</f>
        <v>Chưa test</v>
      </c>
      <c r="H285" s="13" t="s">
        <v>99</v>
      </c>
    </row>
    <row r="286" spans="1:8" x14ac:dyDescent="0.3">
      <c r="A286" s="13" t="str">
        <f t="shared" si="12"/>
        <v>☐</v>
      </c>
      <c r="B286" s="13">
        <v>267</v>
      </c>
      <c r="C286" s="13" t="s">
        <v>24</v>
      </c>
      <c r="D286" s="14" t="s">
        <v>611</v>
      </c>
      <c r="E286" s="14" t="s">
        <v>677</v>
      </c>
      <c r="F286" s="13" t="s">
        <v>678</v>
      </c>
      <c r="G286" s="13" t="str">
        <f>IFERROR(INDEX(App!$L:$L,MATCH(F286,App!$A:$A,0)),"")</f>
        <v>Chưa test</v>
      </c>
      <c r="H286" s="13" t="s">
        <v>51</v>
      </c>
    </row>
    <row r="287" spans="1:8" x14ac:dyDescent="0.3">
      <c r="A287" s="13" t="str">
        <f t="shared" si="12"/>
        <v>☐</v>
      </c>
      <c r="B287" s="13">
        <v>268</v>
      </c>
      <c r="C287" s="13" t="s">
        <v>24</v>
      </c>
      <c r="D287" s="14" t="s">
        <v>611</v>
      </c>
      <c r="E287" s="14" t="s">
        <v>679</v>
      </c>
      <c r="F287" s="13" t="s">
        <v>680</v>
      </c>
      <c r="G287" s="13" t="str">
        <f>IFERROR(INDEX(App!$L:$L,MATCH(F287,App!$A:$A,0)),"")</f>
        <v>Chưa test</v>
      </c>
      <c r="H287" s="13" t="s">
        <v>51</v>
      </c>
    </row>
    <row r="288" spans="1:8" x14ac:dyDescent="0.3">
      <c r="A288" s="13" t="str">
        <f t="shared" si="12"/>
        <v>☐</v>
      </c>
      <c r="B288" s="13">
        <v>269</v>
      </c>
      <c r="C288" s="13" t="s">
        <v>24</v>
      </c>
      <c r="D288" s="14" t="s">
        <v>611</v>
      </c>
      <c r="E288" s="14" t="s">
        <v>681</v>
      </c>
      <c r="F288" s="13" t="s">
        <v>682</v>
      </c>
      <c r="G288" s="13" t="str">
        <f>IFERROR(INDEX(App!$L:$L,MATCH(F288,App!$A:$A,0)),"")</f>
        <v>Chưa test</v>
      </c>
      <c r="H288" s="13" t="s">
        <v>51</v>
      </c>
    </row>
    <row r="289" spans="1:8" x14ac:dyDescent="0.3">
      <c r="A289" s="13" t="str">
        <f t="shared" si="12"/>
        <v>☐</v>
      </c>
      <c r="B289" s="13">
        <v>270</v>
      </c>
      <c r="C289" s="13" t="s">
        <v>24</v>
      </c>
      <c r="D289" s="14" t="s">
        <v>624</v>
      </c>
      <c r="E289" s="14" t="s">
        <v>624</v>
      </c>
      <c r="F289" s="13" t="s">
        <v>683</v>
      </c>
      <c r="G289" s="13" t="str">
        <f>IFERROR(INDEX(App!$L:$L,MATCH(F289,App!$A:$A,0)),"")</f>
        <v>Chưa test</v>
      </c>
      <c r="H289" s="13" t="s">
        <v>54</v>
      </c>
    </row>
    <row r="290" spans="1:8" x14ac:dyDescent="0.3">
      <c r="A290" s="12" t="s">
        <v>27</v>
      </c>
      <c r="B290" s="12"/>
      <c r="C290" s="12"/>
      <c r="D290" s="12"/>
      <c r="E290" s="12"/>
      <c r="F290" s="12"/>
      <c r="G290" s="12" t="str">
        <f>COUNTIF(G291:G293,"Đạt")&amp;"/3 đạt"</f>
        <v>0/3 đạt</v>
      </c>
      <c r="H290" s="12"/>
    </row>
    <row r="291" spans="1:8" x14ac:dyDescent="0.3">
      <c r="A291" s="13" t="str">
        <f>IF(G291="Đạt","☑",IF(G291="Lỗi","✗",IF(G291="Bỏ qua","–","☐")))</f>
        <v>☐</v>
      </c>
      <c r="B291" s="13">
        <v>271</v>
      </c>
      <c r="C291" s="13" t="s">
        <v>24</v>
      </c>
      <c r="D291" s="14" t="s">
        <v>684</v>
      </c>
      <c r="E291" s="14" t="s">
        <v>685</v>
      </c>
      <c r="F291" s="13" t="s">
        <v>686</v>
      </c>
      <c r="G291" s="13" t="str">
        <f>IFERROR(INDEX(App!$L:$L,MATCH(F291,App!$A:$A,0)),"")</f>
        <v>Chưa test</v>
      </c>
      <c r="H291" s="13" t="s">
        <v>51</v>
      </c>
    </row>
    <row r="292" spans="1:8" x14ac:dyDescent="0.3">
      <c r="A292" s="13" t="str">
        <f>IF(G292="Đạt","☑",IF(G292="Lỗi","✗",IF(G292="Bỏ qua","–","☐")))</f>
        <v>☐</v>
      </c>
      <c r="B292" s="13">
        <v>272</v>
      </c>
      <c r="C292" s="13" t="s">
        <v>24</v>
      </c>
      <c r="D292" s="14" t="s">
        <v>684</v>
      </c>
      <c r="E292" s="14" t="s">
        <v>687</v>
      </c>
      <c r="F292" s="13" t="s">
        <v>688</v>
      </c>
      <c r="G292" s="13" t="str">
        <f>IFERROR(INDEX(App!$L:$L,MATCH(F292,App!$A:$A,0)),"")</f>
        <v>Chưa test</v>
      </c>
      <c r="H292" s="13" t="s">
        <v>51</v>
      </c>
    </row>
    <row r="293" spans="1:8" x14ac:dyDescent="0.3">
      <c r="A293" s="13" t="str">
        <f>IF(G293="Đạt","☑",IF(G293="Lỗi","✗",IF(G293="Bỏ qua","–","☐")))</f>
        <v>☐</v>
      </c>
      <c r="B293" s="13">
        <v>273</v>
      </c>
      <c r="C293" s="13" t="s">
        <v>24</v>
      </c>
      <c r="D293" s="14" t="s">
        <v>689</v>
      </c>
      <c r="E293" s="14" t="s">
        <v>690</v>
      </c>
      <c r="F293" s="13" t="s">
        <v>691</v>
      </c>
      <c r="G293" s="13" t="str">
        <f>IFERROR(INDEX(App!$L:$L,MATCH(F293,App!$A:$A,0)),"")</f>
        <v>Chưa test</v>
      </c>
      <c r="H293" s="13" t="s">
        <v>54</v>
      </c>
    </row>
  </sheetData>
  <autoFilter ref="A4:H293" xr:uid="{00000000-0009-0000-0000-000001000000}"/>
  <conditionalFormatting sqref="G5:G293">
    <cfRule type="cellIs" dxfId="1" priority="1" operator="equal">
      <formula>"Đạt"</formula>
    </cfRule>
    <cfRule type="cellIs" dxfId="0" priority="2" operator="equal">
      <formula>"Lỗi"</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155"/>
  <sheetViews>
    <sheetView tabSelected="1" workbookViewId="0">
      <pane xSplit="2" ySplit="1" topLeftCell="C94" activePane="bottomRight" state="frozen"/>
      <selection pane="topRight"/>
      <selection pane="bottomLeft"/>
      <selection pane="bottomRight" activeCell="F1" sqref="F1:F1048576"/>
    </sheetView>
  </sheetViews>
  <sheetFormatPr defaultRowHeight="14.4" x14ac:dyDescent="0.3"/>
  <cols>
    <col min="1" max="1" width="16" customWidth="1"/>
    <col min="2" max="2" width="24" customWidth="1"/>
    <col min="3" max="3" width="23.5546875" customWidth="1"/>
    <col min="4" max="4" width="48" customWidth="1"/>
    <col min="5" max="5" width="52" customWidth="1"/>
    <col min="6" max="6" width="30" customWidth="1"/>
    <col min="7" max="7" width="12" customWidth="1"/>
    <col min="8" max="8" width="13" customWidth="1"/>
    <col min="9" max="9" width="11" customWidth="1"/>
    <col min="10" max="10" width="26" customWidth="1"/>
  </cols>
  <sheetData>
    <row r="1" spans="1:10" ht="30" customHeight="1" x14ac:dyDescent="0.3">
      <c r="A1" s="15" t="s">
        <v>3</v>
      </c>
      <c r="B1" s="15" t="s">
        <v>43</v>
      </c>
      <c r="C1" s="15" t="s">
        <v>693</v>
      </c>
      <c r="D1" s="15" t="s">
        <v>695</v>
      </c>
      <c r="E1" s="15" t="s">
        <v>696</v>
      </c>
      <c r="F1" s="15" t="s">
        <v>697</v>
      </c>
      <c r="G1" s="15"/>
      <c r="H1" s="15" t="s">
        <v>698</v>
      </c>
      <c r="I1" s="15" t="s">
        <v>699</v>
      </c>
      <c r="J1" s="15" t="s">
        <v>700</v>
      </c>
    </row>
    <row r="2" spans="1:10" ht="52.8" hidden="1" x14ac:dyDescent="0.3">
      <c r="A2" s="16" t="s">
        <v>10</v>
      </c>
      <c r="B2" s="16" t="s">
        <v>48</v>
      </c>
      <c r="C2" s="16" t="s">
        <v>49</v>
      </c>
      <c r="D2" s="16" t="s">
        <v>702</v>
      </c>
      <c r="E2" s="16" t="s">
        <v>703</v>
      </c>
      <c r="F2" s="17"/>
      <c r="G2" s="17" t="s">
        <v>8</v>
      </c>
      <c r="H2" s="17"/>
      <c r="I2" s="18"/>
      <c r="J2" s="17"/>
    </row>
    <row r="3" spans="1:10" ht="26.4" hidden="1" x14ac:dyDescent="0.3">
      <c r="A3" s="16" t="s">
        <v>10</v>
      </c>
      <c r="B3" s="16" t="s">
        <v>48</v>
      </c>
      <c r="C3" s="16" t="s">
        <v>52</v>
      </c>
      <c r="D3" s="16" t="s">
        <v>704</v>
      </c>
      <c r="E3" s="16" t="s">
        <v>705</v>
      </c>
      <c r="F3" s="17"/>
      <c r="G3" s="17" t="s">
        <v>8</v>
      </c>
      <c r="H3" s="17"/>
      <c r="I3" s="18"/>
      <c r="J3" s="17"/>
    </row>
    <row r="4" spans="1:10" ht="39.6" hidden="1" x14ac:dyDescent="0.3">
      <c r="A4" s="16" t="s">
        <v>10</v>
      </c>
      <c r="B4" s="16" t="s">
        <v>48</v>
      </c>
      <c r="C4" s="16" t="s">
        <v>55</v>
      </c>
      <c r="D4" s="16" t="s">
        <v>706</v>
      </c>
      <c r="E4" s="16" t="s">
        <v>707</v>
      </c>
      <c r="F4" s="17"/>
      <c r="G4" s="17" t="s">
        <v>8</v>
      </c>
      <c r="H4" s="17"/>
      <c r="I4" s="18"/>
      <c r="J4" s="17"/>
    </row>
    <row r="5" spans="1:10" ht="26.4" hidden="1" x14ac:dyDescent="0.3">
      <c r="A5" s="16" t="s">
        <v>10</v>
      </c>
      <c r="B5" s="16" t="s">
        <v>48</v>
      </c>
      <c r="C5" s="16" t="s">
        <v>57</v>
      </c>
      <c r="D5" s="16" t="s">
        <v>709</v>
      </c>
      <c r="E5" s="16" t="s">
        <v>710</v>
      </c>
      <c r="F5" s="17"/>
      <c r="G5" s="17" t="s">
        <v>8</v>
      </c>
      <c r="H5" s="17"/>
      <c r="I5" s="18"/>
      <c r="J5" s="17"/>
    </row>
    <row r="6" spans="1:10" ht="39.6" hidden="1" x14ac:dyDescent="0.3">
      <c r="A6" s="16" t="s">
        <v>10</v>
      </c>
      <c r="B6" s="16" t="s">
        <v>59</v>
      </c>
      <c r="C6" s="16" t="s">
        <v>60</v>
      </c>
      <c r="D6" s="16" t="s">
        <v>711</v>
      </c>
      <c r="E6" s="16" t="s">
        <v>712</v>
      </c>
      <c r="F6" s="17"/>
      <c r="G6" s="17" t="s">
        <v>8</v>
      </c>
      <c r="H6" s="17"/>
      <c r="I6" s="18"/>
      <c r="J6" s="17"/>
    </row>
    <row r="7" spans="1:10" ht="26.4" hidden="1" x14ac:dyDescent="0.3">
      <c r="A7" s="16" t="s">
        <v>10</v>
      </c>
      <c r="B7" s="16" t="s">
        <v>59</v>
      </c>
      <c r="C7" s="16" t="s">
        <v>62</v>
      </c>
      <c r="D7" s="16" t="s">
        <v>714</v>
      </c>
      <c r="E7" s="16" t="s">
        <v>715</v>
      </c>
      <c r="F7" s="17"/>
      <c r="G7" s="17" t="s">
        <v>8</v>
      </c>
      <c r="H7" s="17"/>
      <c r="I7" s="18"/>
      <c r="J7" s="17"/>
    </row>
    <row r="8" spans="1:10" ht="26.4" hidden="1" x14ac:dyDescent="0.3">
      <c r="A8" s="16" t="s">
        <v>10</v>
      </c>
      <c r="B8" s="16" t="s">
        <v>64</v>
      </c>
      <c r="C8" s="16" t="s">
        <v>65</v>
      </c>
      <c r="D8" s="16" t="s">
        <v>716</v>
      </c>
      <c r="E8" s="16" t="s">
        <v>717</v>
      </c>
      <c r="F8" s="17"/>
      <c r="G8" s="17" t="s">
        <v>8</v>
      </c>
      <c r="H8" s="17"/>
      <c r="I8" s="18"/>
      <c r="J8" s="17"/>
    </row>
    <row r="9" spans="1:10" ht="39.6" hidden="1" x14ac:dyDescent="0.3">
      <c r="A9" s="16" t="s">
        <v>10</v>
      </c>
      <c r="B9" s="16" t="s">
        <v>64</v>
      </c>
      <c r="C9" s="16" t="s">
        <v>67</v>
      </c>
      <c r="D9" s="16" t="s">
        <v>718</v>
      </c>
      <c r="E9" s="16" t="s">
        <v>719</v>
      </c>
      <c r="F9" s="17"/>
      <c r="G9" s="17" t="s">
        <v>8</v>
      </c>
      <c r="H9" s="17"/>
      <c r="I9" s="18"/>
      <c r="J9" s="17"/>
    </row>
    <row r="10" spans="1:10" ht="39.6" hidden="1" x14ac:dyDescent="0.3">
      <c r="A10" s="16" t="s">
        <v>10</v>
      </c>
      <c r="B10" s="16" t="s">
        <v>64</v>
      </c>
      <c r="C10" s="16" t="s">
        <v>69</v>
      </c>
      <c r="D10" s="16" t="s">
        <v>720</v>
      </c>
      <c r="E10" s="16" t="s">
        <v>721</v>
      </c>
      <c r="F10" s="17"/>
      <c r="G10" s="17" t="s">
        <v>8</v>
      </c>
      <c r="H10" s="17"/>
      <c r="I10" s="18"/>
      <c r="J10" s="17"/>
    </row>
    <row r="11" spans="1:10" ht="39.6" hidden="1" x14ac:dyDescent="0.3">
      <c r="A11" s="16" t="s">
        <v>10</v>
      </c>
      <c r="B11" s="16" t="s">
        <v>64</v>
      </c>
      <c r="C11" s="16" t="s">
        <v>71</v>
      </c>
      <c r="D11" s="16" t="s">
        <v>722</v>
      </c>
      <c r="E11" s="16" t="s">
        <v>723</v>
      </c>
      <c r="F11" s="17"/>
      <c r="G11" s="17" t="s">
        <v>8</v>
      </c>
      <c r="H11" s="17"/>
      <c r="I11" s="18"/>
      <c r="J11" s="17"/>
    </row>
    <row r="12" spans="1:10" ht="39.6" hidden="1" x14ac:dyDescent="0.3">
      <c r="A12" s="16" t="s">
        <v>10</v>
      </c>
      <c r="B12" s="16" t="s">
        <v>64</v>
      </c>
      <c r="C12" s="16" t="s">
        <v>73</v>
      </c>
      <c r="D12" s="16" t="s">
        <v>724</v>
      </c>
      <c r="E12" s="16" t="s">
        <v>725</v>
      </c>
      <c r="F12" s="17"/>
      <c r="G12" s="17" t="s">
        <v>8</v>
      </c>
      <c r="H12" s="17"/>
      <c r="I12" s="18"/>
      <c r="J12" s="17"/>
    </row>
    <row r="13" spans="1:10" ht="26.4" hidden="1" x14ac:dyDescent="0.3">
      <c r="A13" s="16" t="s">
        <v>10</v>
      </c>
      <c r="B13" s="16" t="s">
        <v>75</v>
      </c>
      <c r="C13" s="16" t="s">
        <v>76</v>
      </c>
      <c r="D13" s="16" t="s">
        <v>726</v>
      </c>
      <c r="E13" s="16" t="s">
        <v>727</v>
      </c>
      <c r="F13" s="17"/>
      <c r="G13" s="17" t="s">
        <v>8</v>
      </c>
      <c r="H13" s="17"/>
      <c r="I13" s="18"/>
      <c r="J13" s="17"/>
    </row>
    <row r="14" spans="1:10" ht="26.4" hidden="1" x14ac:dyDescent="0.3">
      <c r="A14" s="16" t="s">
        <v>10</v>
      </c>
      <c r="B14" s="16" t="s">
        <v>75</v>
      </c>
      <c r="C14" s="16" t="s">
        <v>78</v>
      </c>
      <c r="D14" s="16" t="s">
        <v>728</v>
      </c>
      <c r="E14" s="16" t="s">
        <v>729</v>
      </c>
      <c r="F14" s="17"/>
      <c r="G14" s="17" t="s">
        <v>8</v>
      </c>
      <c r="H14" s="17"/>
      <c r="I14" s="18"/>
      <c r="J14" s="17"/>
    </row>
    <row r="15" spans="1:10" ht="52.8" hidden="1" x14ac:dyDescent="0.3">
      <c r="A15" s="16" t="s">
        <v>10</v>
      </c>
      <c r="B15" s="16" t="s">
        <v>80</v>
      </c>
      <c r="C15" s="16" t="s">
        <v>81</v>
      </c>
      <c r="D15" s="16" t="s">
        <v>730</v>
      </c>
      <c r="E15" s="16" t="s">
        <v>731</v>
      </c>
      <c r="F15" s="17"/>
      <c r="G15" s="17" t="s">
        <v>8</v>
      </c>
      <c r="H15" s="17"/>
      <c r="I15" s="18"/>
      <c r="J15" s="17"/>
    </row>
    <row r="16" spans="1:10" ht="39.6" hidden="1" x14ac:dyDescent="0.3">
      <c r="A16" s="16" t="s">
        <v>11</v>
      </c>
      <c r="B16" s="16" t="s">
        <v>106</v>
      </c>
      <c r="C16" s="16" t="s">
        <v>107</v>
      </c>
      <c r="D16" s="16" t="s">
        <v>732</v>
      </c>
      <c r="E16" s="16" t="s">
        <v>733</v>
      </c>
      <c r="F16" s="17"/>
      <c r="G16" s="17" t="s">
        <v>8</v>
      </c>
      <c r="H16" s="17"/>
      <c r="I16" s="18"/>
      <c r="J16" s="17"/>
    </row>
    <row r="17" spans="1:10" ht="26.4" hidden="1" x14ac:dyDescent="0.3">
      <c r="A17" s="16" t="s">
        <v>11</v>
      </c>
      <c r="B17" s="16" t="s">
        <v>109</v>
      </c>
      <c r="C17" s="16" t="s">
        <v>110</v>
      </c>
      <c r="D17" s="16" t="s">
        <v>734</v>
      </c>
      <c r="E17" s="16" t="s">
        <v>735</v>
      </c>
      <c r="F17" s="17"/>
      <c r="G17" s="17" t="s">
        <v>8</v>
      </c>
      <c r="H17" s="17"/>
      <c r="I17" s="18"/>
      <c r="J17" s="17"/>
    </row>
    <row r="18" spans="1:10" ht="66" hidden="1" x14ac:dyDescent="0.3">
      <c r="A18" s="16" t="s">
        <v>11</v>
      </c>
      <c r="B18" s="16" t="s">
        <v>112</v>
      </c>
      <c r="C18" s="16" t="s">
        <v>113</v>
      </c>
      <c r="D18" s="16" t="s">
        <v>736</v>
      </c>
      <c r="E18" s="16" t="s">
        <v>737</v>
      </c>
      <c r="F18" s="17"/>
      <c r="G18" s="17" t="s">
        <v>8</v>
      </c>
      <c r="H18" s="17"/>
      <c r="I18" s="18"/>
      <c r="J18" s="17"/>
    </row>
    <row r="19" spans="1:10" ht="26.4" hidden="1" x14ac:dyDescent="0.3">
      <c r="A19" s="16" t="s">
        <v>11</v>
      </c>
      <c r="B19" s="16" t="s">
        <v>112</v>
      </c>
      <c r="C19" s="16" t="s">
        <v>115</v>
      </c>
      <c r="D19" s="16" t="s">
        <v>738</v>
      </c>
      <c r="E19" s="16" t="s">
        <v>739</v>
      </c>
      <c r="F19" s="17"/>
      <c r="G19" s="17" t="s">
        <v>8</v>
      </c>
      <c r="H19" s="17"/>
      <c r="I19" s="18"/>
      <c r="J19" s="17"/>
    </row>
    <row r="20" spans="1:10" ht="26.4" hidden="1" x14ac:dyDescent="0.3">
      <c r="A20" s="16" t="s">
        <v>11</v>
      </c>
      <c r="B20" s="16" t="s">
        <v>117</v>
      </c>
      <c r="C20" s="16" t="s">
        <v>118</v>
      </c>
      <c r="D20" s="16" t="s">
        <v>740</v>
      </c>
      <c r="E20" s="16" t="s">
        <v>741</v>
      </c>
      <c r="F20" s="17"/>
      <c r="G20" s="17" t="s">
        <v>8</v>
      </c>
      <c r="H20" s="17"/>
      <c r="I20" s="18"/>
      <c r="J20" s="17"/>
    </row>
    <row r="21" spans="1:10" ht="52.8" hidden="1" x14ac:dyDescent="0.3">
      <c r="A21" s="16" t="s">
        <v>11</v>
      </c>
      <c r="B21" s="16" t="s">
        <v>120</v>
      </c>
      <c r="C21" s="16" t="s">
        <v>121</v>
      </c>
      <c r="D21" s="16" t="s">
        <v>742</v>
      </c>
      <c r="E21" s="16" t="s">
        <v>743</v>
      </c>
      <c r="F21" s="17"/>
      <c r="G21" s="17" t="s">
        <v>8</v>
      </c>
      <c r="H21" s="17"/>
      <c r="I21" s="18"/>
      <c r="J21" s="17"/>
    </row>
    <row r="22" spans="1:10" ht="39.6" hidden="1" x14ac:dyDescent="0.3">
      <c r="A22" s="16" t="s">
        <v>11</v>
      </c>
      <c r="B22" s="16" t="s">
        <v>120</v>
      </c>
      <c r="C22" s="16" t="s">
        <v>123</v>
      </c>
      <c r="D22" s="16" t="s">
        <v>744</v>
      </c>
      <c r="E22" s="16" t="s">
        <v>745</v>
      </c>
      <c r="F22" s="17"/>
      <c r="G22" s="17" t="s">
        <v>8</v>
      </c>
      <c r="H22" s="17"/>
      <c r="I22" s="18"/>
      <c r="J22" s="17"/>
    </row>
    <row r="23" spans="1:10" ht="39.6" hidden="1" x14ac:dyDescent="0.3">
      <c r="A23" s="16" t="s">
        <v>11</v>
      </c>
      <c r="B23" s="16" t="s">
        <v>125</v>
      </c>
      <c r="C23" s="16" t="s">
        <v>126</v>
      </c>
      <c r="D23" s="16" t="s">
        <v>746</v>
      </c>
      <c r="E23" s="16" t="s">
        <v>747</v>
      </c>
      <c r="F23" s="17"/>
      <c r="G23" s="17" t="s">
        <v>8</v>
      </c>
      <c r="H23" s="17"/>
      <c r="I23" s="18"/>
      <c r="J23" s="17"/>
    </row>
    <row r="24" spans="1:10" ht="26.4" hidden="1" x14ac:dyDescent="0.3">
      <c r="A24" s="16" t="s">
        <v>11</v>
      </c>
      <c r="B24" s="16" t="s">
        <v>125</v>
      </c>
      <c r="C24" s="16" t="s">
        <v>128</v>
      </c>
      <c r="D24" s="16" t="s">
        <v>748</v>
      </c>
      <c r="E24" s="16" t="s">
        <v>749</v>
      </c>
      <c r="F24" s="17"/>
      <c r="G24" s="17" t="s">
        <v>8</v>
      </c>
      <c r="H24" s="17"/>
      <c r="I24" s="18"/>
      <c r="J24" s="17"/>
    </row>
    <row r="25" spans="1:10" ht="39.6" hidden="1" x14ac:dyDescent="0.3">
      <c r="A25" s="16" t="s">
        <v>11</v>
      </c>
      <c r="B25" s="16" t="s">
        <v>130</v>
      </c>
      <c r="C25" s="16" t="s">
        <v>131</v>
      </c>
      <c r="D25" s="16" t="s">
        <v>750</v>
      </c>
      <c r="E25" s="16" t="s">
        <v>751</v>
      </c>
      <c r="F25" s="17"/>
      <c r="G25" s="17" t="s">
        <v>8</v>
      </c>
      <c r="H25" s="17"/>
      <c r="I25" s="18"/>
      <c r="J25" s="17"/>
    </row>
    <row r="26" spans="1:10" ht="52.8" hidden="1" x14ac:dyDescent="0.3">
      <c r="A26" s="16" t="s">
        <v>11</v>
      </c>
      <c r="B26" s="16" t="s">
        <v>133</v>
      </c>
      <c r="C26" s="16" t="s">
        <v>134</v>
      </c>
      <c r="D26" s="16" t="s">
        <v>753</v>
      </c>
      <c r="E26" s="16" t="s">
        <v>754</v>
      </c>
      <c r="F26" s="17"/>
      <c r="G26" s="17" t="s">
        <v>8</v>
      </c>
      <c r="H26" s="17"/>
      <c r="I26" s="18"/>
      <c r="J26" s="17"/>
    </row>
    <row r="27" spans="1:10" ht="26.4" hidden="1" x14ac:dyDescent="0.3">
      <c r="A27" s="16" t="s">
        <v>11</v>
      </c>
      <c r="B27" s="16" t="s">
        <v>133</v>
      </c>
      <c r="C27" s="16" t="s">
        <v>136</v>
      </c>
      <c r="D27" s="16" t="s">
        <v>755</v>
      </c>
      <c r="E27" s="16" t="s">
        <v>756</v>
      </c>
      <c r="F27" s="17"/>
      <c r="G27" s="17" t="s">
        <v>8</v>
      </c>
      <c r="H27" s="17"/>
      <c r="I27" s="18"/>
      <c r="J27" s="17"/>
    </row>
    <row r="28" spans="1:10" ht="39.6" hidden="1" x14ac:dyDescent="0.3">
      <c r="A28" s="16" t="s">
        <v>12</v>
      </c>
      <c r="B28" s="16" t="s">
        <v>146</v>
      </c>
      <c r="C28" s="16" t="s">
        <v>147</v>
      </c>
      <c r="D28" s="16" t="s">
        <v>757</v>
      </c>
      <c r="E28" s="16" t="s">
        <v>758</v>
      </c>
      <c r="F28" s="17"/>
      <c r="G28" s="17" t="s">
        <v>8</v>
      </c>
      <c r="H28" s="17"/>
      <c r="I28" s="18"/>
      <c r="J28" s="17"/>
    </row>
    <row r="29" spans="1:10" ht="52.8" hidden="1" x14ac:dyDescent="0.3">
      <c r="A29" s="16" t="s">
        <v>12</v>
      </c>
      <c r="B29" s="16" t="s">
        <v>146</v>
      </c>
      <c r="C29" s="16" t="s">
        <v>149</v>
      </c>
      <c r="D29" s="16" t="s">
        <v>759</v>
      </c>
      <c r="E29" s="16" t="s">
        <v>760</v>
      </c>
      <c r="F29" s="17"/>
      <c r="G29" s="17" t="s">
        <v>8</v>
      </c>
      <c r="H29" s="17"/>
      <c r="I29" s="18"/>
      <c r="J29" s="17"/>
    </row>
    <row r="30" spans="1:10" ht="39.6" hidden="1" x14ac:dyDescent="0.3">
      <c r="A30" s="16" t="s">
        <v>12</v>
      </c>
      <c r="B30" s="16" t="s">
        <v>146</v>
      </c>
      <c r="C30" s="16" t="s">
        <v>151</v>
      </c>
      <c r="D30" s="16" t="s">
        <v>761</v>
      </c>
      <c r="E30" s="16" t="s">
        <v>762</v>
      </c>
      <c r="F30" s="17"/>
      <c r="G30" s="17" t="s">
        <v>8</v>
      </c>
      <c r="H30" s="17"/>
      <c r="I30" s="18"/>
      <c r="J30" s="17"/>
    </row>
    <row r="31" spans="1:10" ht="26.4" hidden="1" x14ac:dyDescent="0.3">
      <c r="A31" s="16" t="s">
        <v>12</v>
      </c>
      <c r="B31" s="16" t="s">
        <v>146</v>
      </c>
      <c r="C31" s="16" t="s">
        <v>153</v>
      </c>
      <c r="D31" s="16" t="s">
        <v>763</v>
      </c>
      <c r="E31" s="16" t="s">
        <v>764</v>
      </c>
      <c r="F31" s="17"/>
      <c r="G31" s="17" t="s">
        <v>8</v>
      </c>
      <c r="H31" s="17"/>
      <c r="I31" s="18"/>
      <c r="J31" s="17"/>
    </row>
    <row r="32" spans="1:10" ht="39.6" hidden="1" x14ac:dyDescent="0.3">
      <c r="A32" s="16" t="s">
        <v>12</v>
      </c>
      <c r="B32" s="16" t="s">
        <v>155</v>
      </c>
      <c r="C32" s="16" t="s">
        <v>156</v>
      </c>
      <c r="D32" s="16" t="s">
        <v>765</v>
      </c>
      <c r="E32" s="16" t="s">
        <v>766</v>
      </c>
      <c r="F32" s="17"/>
      <c r="G32" s="17" t="s">
        <v>8</v>
      </c>
      <c r="H32" s="17"/>
      <c r="I32" s="18"/>
      <c r="J32" s="17"/>
    </row>
    <row r="33" spans="1:10" ht="52.8" hidden="1" x14ac:dyDescent="0.3">
      <c r="A33" s="16" t="s">
        <v>12</v>
      </c>
      <c r="B33" s="16" t="s">
        <v>155</v>
      </c>
      <c r="C33" s="16" t="s">
        <v>158</v>
      </c>
      <c r="D33" s="16" t="s">
        <v>767</v>
      </c>
      <c r="E33" s="16" t="s">
        <v>768</v>
      </c>
      <c r="F33" s="17"/>
      <c r="G33" s="17" t="s">
        <v>8</v>
      </c>
      <c r="H33" s="17"/>
      <c r="I33" s="18"/>
      <c r="J33" s="17"/>
    </row>
    <row r="34" spans="1:10" ht="26.4" hidden="1" x14ac:dyDescent="0.3">
      <c r="A34" s="16" t="s">
        <v>12</v>
      </c>
      <c r="B34" s="16" t="s">
        <v>155</v>
      </c>
      <c r="C34" s="16" t="s">
        <v>160</v>
      </c>
      <c r="D34" s="16" t="s">
        <v>769</v>
      </c>
      <c r="E34" s="16" t="s">
        <v>770</v>
      </c>
      <c r="F34" s="17"/>
      <c r="G34" s="17" t="s">
        <v>8</v>
      </c>
      <c r="H34" s="17"/>
      <c r="I34" s="18"/>
      <c r="J34" s="17"/>
    </row>
    <row r="35" spans="1:10" ht="52.8" hidden="1" x14ac:dyDescent="0.3">
      <c r="A35" s="16" t="s">
        <v>12</v>
      </c>
      <c r="B35" s="16" t="s">
        <v>162</v>
      </c>
      <c r="C35" s="16" t="s">
        <v>163</v>
      </c>
      <c r="D35" s="16" t="s">
        <v>771</v>
      </c>
      <c r="E35" s="16" t="s">
        <v>772</v>
      </c>
      <c r="F35" s="17"/>
      <c r="G35" s="17" t="s">
        <v>8</v>
      </c>
      <c r="H35" s="17"/>
      <c r="I35" s="18"/>
      <c r="J35" s="17"/>
    </row>
    <row r="36" spans="1:10" ht="26.4" hidden="1" x14ac:dyDescent="0.3">
      <c r="A36" s="16" t="s">
        <v>12</v>
      </c>
      <c r="B36" s="16" t="s">
        <v>162</v>
      </c>
      <c r="C36" s="16" t="s">
        <v>165</v>
      </c>
      <c r="D36" s="16" t="s">
        <v>773</v>
      </c>
      <c r="E36" s="16" t="s">
        <v>774</v>
      </c>
      <c r="F36" s="17"/>
      <c r="G36" s="17" t="s">
        <v>8</v>
      </c>
      <c r="H36" s="17"/>
      <c r="I36" s="18"/>
      <c r="J36" s="17"/>
    </row>
    <row r="37" spans="1:10" ht="39.6" hidden="1" x14ac:dyDescent="0.3">
      <c r="A37" s="16" t="s">
        <v>12</v>
      </c>
      <c r="B37" s="16" t="s">
        <v>167</v>
      </c>
      <c r="C37" s="16" t="s">
        <v>168</v>
      </c>
      <c r="D37" s="16" t="s">
        <v>775</v>
      </c>
      <c r="E37" s="16" t="s">
        <v>776</v>
      </c>
      <c r="F37" s="17"/>
      <c r="G37" s="17" t="s">
        <v>8</v>
      </c>
      <c r="H37" s="17"/>
      <c r="I37" s="18"/>
      <c r="J37" s="17"/>
    </row>
    <row r="38" spans="1:10" ht="26.4" hidden="1" x14ac:dyDescent="0.3">
      <c r="A38" s="16" t="s">
        <v>12</v>
      </c>
      <c r="B38" s="16" t="s">
        <v>167</v>
      </c>
      <c r="C38" s="16" t="s">
        <v>170</v>
      </c>
      <c r="D38" s="16" t="s">
        <v>777</v>
      </c>
      <c r="E38" s="16" t="s">
        <v>778</v>
      </c>
      <c r="F38" s="17"/>
      <c r="G38" s="17" t="s">
        <v>8</v>
      </c>
      <c r="H38" s="17"/>
      <c r="I38" s="18"/>
      <c r="J38" s="17"/>
    </row>
    <row r="39" spans="1:10" ht="39.6" hidden="1" x14ac:dyDescent="0.3">
      <c r="A39" s="16" t="s">
        <v>12</v>
      </c>
      <c r="B39" s="16" t="s">
        <v>172</v>
      </c>
      <c r="C39" s="16" t="s">
        <v>173</v>
      </c>
      <c r="D39" s="16" t="s">
        <v>779</v>
      </c>
      <c r="E39" s="16" t="s">
        <v>780</v>
      </c>
      <c r="F39" s="17"/>
      <c r="G39" s="17" t="s">
        <v>8</v>
      </c>
      <c r="H39" s="17"/>
      <c r="I39" s="18"/>
      <c r="J39" s="17"/>
    </row>
    <row r="40" spans="1:10" ht="26.4" hidden="1" x14ac:dyDescent="0.3">
      <c r="A40" s="16" t="s">
        <v>12</v>
      </c>
      <c r="B40" s="16" t="s">
        <v>172</v>
      </c>
      <c r="C40" s="16" t="s">
        <v>175</v>
      </c>
      <c r="D40" s="16" t="s">
        <v>781</v>
      </c>
      <c r="E40" s="16" t="s">
        <v>782</v>
      </c>
      <c r="F40" s="17"/>
      <c r="G40" s="17" t="s">
        <v>8</v>
      </c>
      <c r="H40" s="17"/>
      <c r="I40" s="18"/>
      <c r="J40" s="17"/>
    </row>
    <row r="41" spans="1:10" ht="39.6" hidden="1" x14ac:dyDescent="0.3">
      <c r="A41" s="16" t="s">
        <v>12</v>
      </c>
      <c r="B41" s="16" t="s">
        <v>177</v>
      </c>
      <c r="C41" s="16" t="s">
        <v>178</v>
      </c>
      <c r="D41" s="16" t="s">
        <v>783</v>
      </c>
      <c r="E41" s="16" t="s">
        <v>784</v>
      </c>
      <c r="F41" s="17"/>
      <c r="G41" s="17" t="s">
        <v>8</v>
      </c>
      <c r="H41" s="17"/>
      <c r="I41" s="18"/>
      <c r="J41" s="17"/>
    </row>
    <row r="42" spans="1:10" ht="39.6" hidden="1" x14ac:dyDescent="0.3">
      <c r="A42" s="16" t="s">
        <v>12</v>
      </c>
      <c r="B42" s="16" t="s">
        <v>177</v>
      </c>
      <c r="C42" s="16" t="s">
        <v>180</v>
      </c>
      <c r="D42" s="16" t="s">
        <v>785</v>
      </c>
      <c r="E42" s="16" t="s">
        <v>786</v>
      </c>
      <c r="F42" s="17"/>
      <c r="G42" s="17" t="s">
        <v>8</v>
      </c>
      <c r="H42" s="17"/>
      <c r="I42" s="18"/>
      <c r="J42" s="17"/>
    </row>
    <row r="43" spans="1:10" ht="26.4" hidden="1" x14ac:dyDescent="0.3">
      <c r="A43" s="16" t="s">
        <v>12</v>
      </c>
      <c r="B43" s="16" t="s">
        <v>177</v>
      </c>
      <c r="C43" s="16" t="s">
        <v>182</v>
      </c>
      <c r="D43" s="16" t="s">
        <v>787</v>
      </c>
      <c r="E43" s="16" t="s">
        <v>788</v>
      </c>
      <c r="F43" s="17"/>
      <c r="G43" s="17" t="s">
        <v>8</v>
      </c>
      <c r="H43" s="17"/>
      <c r="I43" s="18"/>
      <c r="J43" s="17"/>
    </row>
    <row r="44" spans="1:10" ht="26.4" hidden="1" x14ac:dyDescent="0.3">
      <c r="A44" s="16" t="s">
        <v>12</v>
      </c>
      <c r="B44" s="16" t="s">
        <v>184</v>
      </c>
      <c r="C44" s="16" t="s">
        <v>185</v>
      </c>
      <c r="D44" s="16" t="s">
        <v>789</v>
      </c>
      <c r="E44" s="16" t="s">
        <v>790</v>
      </c>
      <c r="F44" s="17"/>
      <c r="G44" s="17" t="s">
        <v>8</v>
      </c>
      <c r="H44" s="17"/>
      <c r="I44" s="18"/>
      <c r="J44" s="17"/>
    </row>
    <row r="45" spans="1:10" ht="26.4" hidden="1" x14ac:dyDescent="0.3">
      <c r="A45" s="16" t="s">
        <v>12</v>
      </c>
      <c r="B45" s="16" t="s">
        <v>184</v>
      </c>
      <c r="C45" s="16" t="s">
        <v>187</v>
      </c>
      <c r="D45" s="16" t="s">
        <v>791</v>
      </c>
      <c r="E45" s="16" t="s">
        <v>792</v>
      </c>
      <c r="F45" s="17"/>
      <c r="G45" s="17" t="s">
        <v>8</v>
      </c>
      <c r="H45" s="17"/>
      <c r="I45" s="18"/>
      <c r="J45" s="17"/>
    </row>
    <row r="46" spans="1:10" ht="39.6" hidden="1" x14ac:dyDescent="0.3">
      <c r="A46" s="16" t="s">
        <v>12</v>
      </c>
      <c r="B46" s="16" t="s">
        <v>184</v>
      </c>
      <c r="C46" s="16" t="s">
        <v>189</v>
      </c>
      <c r="D46" s="16" t="s">
        <v>793</v>
      </c>
      <c r="E46" s="16" t="s">
        <v>794</v>
      </c>
      <c r="F46" s="17"/>
      <c r="G46" s="17" t="s">
        <v>8</v>
      </c>
      <c r="H46" s="17"/>
      <c r="I46" s="18"/>
      <c r="J46" s="17"/>
    </row>
    <row r="47" spans="1:10" ht="26.4" hidden="1" x14ac:dyDescent="0.3">
      <c r="A47" s="16" t="s">
        <v>12</v>
      </c>
      <c r="B47" s="16" t="s">
        <v>184</v>
      </c>
      <c r="C47" s="16" t="s">
        <v>191</v>
      </c>
      <c r="D47" s="16" t="s">
        <v>795</v>
      </c>
      <c r="E47" s="16" t="s">
        <v>796</v>
      </c>
      <c r="F47" s="17"/>
      <c r="G47" s="17" t="s">
        <v>8</v>
      </c>
      <c r="H47" s="17"/>
      <c r="I47" s="18"/>
      <c r="J47" s="17"/>
    </row>
    <row r="48" spans="1:10" ht="52.8" hidden="1" x14ac:dyDescent="0.3">
      <c r="A48" s="16" t="s">
        <v>12</v>
      </c>
      <c r="B48" s="16" t="s">
        <v>184</v>
      </c>
      <c r="C48" s="16" t="s">
        <v>193</v>
      </c>
      <c r="D48" s="16" t="s">
        <v>797</v>
      </c>
      <c r="E48" s="16" t="s">
        <v>798</v>
      </c>
      <c r="F48" s="17"/>
      <c r="G48" s="17" t="s">
        <v>8</v>
      </c>
      <c r="H48" s="17"/>
      <c r="I48" s="18"/>
      <c r="J48" s="17"/>
    </row>
    <row r="49" spans="1:10" ht="39.6" hidden="1" x14ac:dyDescent="0.3">
      <c r="A49" s="16" t="s">
        <v>12</v>
      </c>
      <c r="B49" s="16" t="s">
        <v>195</v>
      </c>
      <c r="C49" s="16" t="s">
        <v>196</v>
      </c>
      <c r="D49" s="16" t="s">
        <v>799</v>
      </c>
      <c r="E49" s="16" t="s">
        <v>800</v>
      </c>
      <c r="F49" s="17"/>
      <c r="G49" s="17" t="s">
        <v>8</v>
      </c>
      <c r="H49" s="17"/>
      <c r="I49" s="18"/>
      <c r="J49" s="17"/>
    </row>
    <row r="50" spans="1:10" ht="26.4" hidden="1" x14ac:dyDescent="0.3">
      <c r="A50" s="16" t="s">
        <v>13</v>
      </c>
      <c r="B50" s="16" t="s">
        <v>239</v>
      </c>
      <c r="C50" s="16" t="s">
        <v>240</v>
      </c>
      <c r="D50" s="16" t="s">
        <v>801</v>
      </c>
      <c r="E50" s="16" t="s">
        <v>802</v>
      </c>
      <c r="F50" s="17"/>
      <c r="G50" s="17" t="s">
        <v>8</v>
      </c>
      <c r="H50" s="17"/>
      <c r="I50" s="18"/>
      <c r="J50" s="17"/>
    </row>
    <row r="51" spans="1:10" ht="39.6" hidden="1" x14ac:dyDescent="0.3">
      <c r="A51" s="16" t="s">
        <v>13</v>
      </c>
      <c r="B51" s="16" t="s">
        <v>239</v>
      </c>
      <c r="C51" s="16" t="s">
        <v>242</v>
      </c>
      <c r="D51" s="16" t="s">
        <v>803</v>
      </c>
      <c r="E51" s="16" t="s">
        <v>804</v>
      </c>
      <c r="F51" s="17"/>
      <c r="G51" s="17" t="s">
        <v>8</v>
      </c>
      <c r="H51" s="17"/>
      <c r="I51" s="18"/>
      <c r="J51" s="17"/>
    </row>
    <row r="52" spans="1:10" ht="39.6" hidden="1" x14ac:dyDescent="0.3">
      <c r="A52" s="16" t="s">
        <v>13</v>
      </c>
      <c r="B52" s="16" t="s">
        <v>244</v>
      </c>
      <c r="C52" s="16" t="s">
        <v>245</v>
      </c>
      <c r="D52" s="16" t="s">
        <v>805</v>
      </c>
      <c r="E52" s="16" t="s">
        <v>806</v>
      </c>
      <c r="F52" s="17"/>
      <c r="G52" s="17" t="s">
        <v>8</v>
      </c>
      <c r="H52" s="17"/>
      <c r="I52" s="18"/>
      <c r="J52" s="17"/>
    </row>
    <row r="53" spans="1:10" ht="39.6" hidden="1" x14ac:dyDescent="0.3">
      <c r="A53" s="16" t="s">
        <v>13</v>
      </c>
      <c r="B53" s="16" t="s">
        <v>244</v>
      </c>
      <c r="C53" s="16" t="s">
        <v>247</v>
      </c>
      <c r="D53" s="16" t="s">
        <v>807</v>
      </c>
      <c r="E53" s="16" t="s">
        <v>808</v>
      </c>
      <c r="F53" s="17"/>
      <c r="G53" s="17" t="s">
        <v>8</v>
      </c>
      <c r="H53" s="17"/>
      <c r="I53" s="18"/>
      <c r="J53" s="17"/>
    </row>
    <row r="54" spans="1:10" ht="26.4" hidden="1" x14ac:dyDescent="0.3">
      <c r="A54" s="16" t="s">
        <v>13</v>
      </c>
      <c r="B54" s="16" t="s">
        <v>244</v>
      </c>
      <c r="C54" s="16" t="s">
        <v>249</v>
      </c>
      <c r="D54" s="16" t="s">
        <v>809</v>
      </c>
      <c r="E54" s="16" t="s">
        <v>810</v>
      </c>
      <c r="F54" s="17"/>
      <c r="G54" s="17" t="s">
        <v>8</v>
      </c>
      <c r="H54" s="17"/>
      <c r="I54" s="18"/>
      <c r="J54" s="17"/>
    </row>
    <row r="55" spans="1:10" ht="26.4" hidden="1" x14ac:dyDescent="0.3">
      <c r="A55" s="16" t="s">
        <v>13</v>
      </c>
      <c r="B55" s="16" t="s">
        <v>251</v>
      </c>
      <c r="C55" s="16" t="s">
        <v>252</v>
      </c>
      <c r="D55" s="16" t="s">
        <v>811</v>
      </c>
      <c r="E55" s="16" t="s">
        <v>812</v>
      </c>
      <c r="F55" s="17"/>
      <c r="G55" s="17" t="s">
        <v>8</v>
      </c>
      <c r="H55" s="17"/>
      <c r="I55" s="18"/>
      <c r="J55" s="17"/>
    </row>
    <row r="56" spans="1:10" ht="26.4" hidden="1" x14ac:dyDescent="0.3">
      <c r="A56" s="16" t="s">
        <v>13</v>
      </c>
      <c r="B56" s="16" t="s">
        <v>254</v>
      </c>
      <c r="C56" s="16" t="s">
        <v>255</v>
      </c>
      <c r="D56" s="16" t="s">
        <v>813</v>
      </c>
      <c r="E56" s="16" t="s">
        <v>814</v>
      </c>
      <c r="F56" s="17"/>
      <c r="G56" s="17" t="s">
        <v>8</v>
      </c>
      <c r="H56" s="17"/>
      <c r="I56" s="18"/>
      <c r="J56" s="17"/>
    </row>
    <row r="57" spans="1:10" ht="39.6" hidden="1" x14ac:dyDescent="0.3">
      <c r="A57" s="16" t="s">
        <v>13</v>
      </c>
      <c r="B57" s="16" t="s">
        <v>254</v>
      </c>
      <c r="C57" s="16" t="s">
        <v>257</v>
      </c>
      <c r="D57" s="16" t="s">
        <v>815</v>
      </c>
      <c r="E57" s="16" t="s">
        <v>816</v>
      </c>
      <c r="F57" s="17"/>
      <c r="G57" s="17" t="s">
        <v>8</v>
      </c>
      <c r="H57" s="17"/>
      <c r="I57" s="18"/>
      <c r="J57" s="17"/>
    </row>
    <row r="58" spans="1:10" ht="39.6" hidden="1" x14ac:dyDescent="0.3">
      <c r="A58" s="16" t="s">
        <v>13</v>
      </c>
      <c r="B58" s="16" t="s">
        <v>259</v>
      </c>
      <c r="C58" s="16" t="s">
        <v>260</v>
      </c>
      <c r="D58" s="16" t="s">
        <v>817</v>
      </c>
      <c r="E58" s="16" t="s">
        <v>818</v>
      </c>
      <c r="F58" s="17"/>
      <c r="G58" s="17" t="s">
        <v>8</v>
      </c>
      <c r="H58" s="17"/>
      <c r="I58" s="18"/>
      <c r="J58" s="17"/>
    </row>
    <row r="59" spans="1:10" ht="26.4" hidden="1" x14ac:dyDescent="0.3">
      <c r="A59" s="16" t="s">
        <v>13</v>
      </c>
      <c r="B59" s="16" t="s">
        <v>262</v>
      </c>
      <c r="C59" s="16" t="s">
        <v>263</v>
      </c>
      <c r="D59" s="16" t="s">
        <v>819</v>
      </c>
      <c r="E59" s="16" t="s">
        <v>820</v>
      </c>
      <c r="F59" s="17"/>
      <c r="G59" s="17" t="s">
        <v>8</v>
      </c>
      <c r="H59" s="17"/>
      <c r="I59" s="18"/>
      <c r="J59" s="17"/>
    </row>
    <row r="60" spans="1:10" ht="39.6" hidden="1" x14ac:dyDescent="0.3">
      <c r="A60" s="16" t="s">
        <v>13</v>
      </c>
      <c r="B60" s="16" t="s">
        <v>213</v>
      </c>
      <c r="C60" s="16" t="s">
        <v>265</v>
      </c>
      <c r="D60" s="16" t="s">
        <v>821</v>
      </c>
      <c r="E60" s="16" t="s">
        <v>822</v>
      </c>
      <c r="F60" s="17"/>
      <c r="G60" s="17" t="s">
        <v>8</v>
      </c>
      <c r="H60" s="17"/>
      <c r="I60" s="18"/>
      <c r="J60" s="17"/>
    </row>
    <row r="61" spans="1:10" ht="39.6" hidden="1" x14ac:dyDescent="0.3">
      <c r="A61" s="16" t="s">
        <v>13</v>
      </c>
      <c r="B61" s="16" t="s">
        <v>213</v>
      </c>
      <c r="C61" s="16" t="s">
        <v>267</v>
      </c>
      <c r="D61" s="16" t="s">
        <v>823</v>
      </c>
      <c r="E61" s="16" t="s">
        <v>824</v>
      </c>
      <c r="F61" s="17"/>
      <c r="G61" s="17" t="s">
        <v>8</v>
      </c>
      <c r="H61" s="17"/>
      <c r="I61" s="18"/>
      <c r="J61" s="17"/>
    </row>
    <row r="62" spans="1:10" ht="26.4" hidden="1" x14ac:dyDescent="0.3">
      <c r="A62" s="16" t="s">
        <v>13</v>
      </c>
      <c r="B62" s="16" t="s">
        <v>269</v>
      </c>
      <c r="C62" s="16" t="s">
        <v>270</v>
      </c>
      <c r="D62" s="16" t="s">
        <v>825</v>
      </c>
      <c r="E62" s="16" t="s">
        <v>826</v>
      </c>
      <c r="F62" s="17"/>
      <c r="G62" s="17" t="s">
        <v>8</v>
      </c>
      <c r="H62" s="17"/>
      <c r="I62" s="18"/>
      <c r="J62" s="17"/>
    </row>
    <row r="63" spans="1:10" ht="39.6" hidden="1" x14ac:dyDescent="0.3">
      <c r="A63" s="16" t="s">
        <v>13</v>
      </c>
      <c r="B63" s="16" t="s">
        <v>272</v>
      </c>
      <c r="C63" s="16" t="s">
        <v>273</v>
      </c>
      <c r="D63" s="16" t="s">
        <v>827</v>
      </c>
      <c r="E63" s="16" t="s">
        <v>828</v>
      </c>
      <c r="F63" s="17"/>
      <c r="G63" s="17" t="s">
        <v>8</v>
      </c>
      <c r="H63" s="17"/>
      <c r="I63" s="18"/>
      <c r="J63" s="17"/>
    </row>
    <row r="64" spans="1:10" ht="26.4" hidden="1" x14ac:dyDescent="0.3">
      <c r="A64" s="16" t="s">
        <v>13</v>
      </c>
      <c r="B64" s="16" t="s">
        <v>275</v>
      </c>
      <c r="C64" s="16" t="s">
        <v>276</v>
      </c>
      <c r="D64" s="16" t="s">
        <v>825</v>
      </c>
      <c r="E64" s="16" t="s">
        <v>829</v>
      </c>
      <c r="F64" s="17"/>
      <c r="G64" s="17" t="s">
        <v>8</v>
      </c>
      <c r="H64" s="17"/>
      <c r="I64" s="18"/>
      <c r="J64" s="17"/>
    </row>
    <row r="65" spans="1:10" ht="26.4" hidden="1" x14ac:dyDescent="0.3">
      <c r="A65" s="16" t="s">
        <v>13</v>
      </c>
      <c r="B65" s="16" t="s">
        <v>278</v>
      </c>
      <c r="C65" s="16" t="s">
        <v>279</v>
      </c>
      <c r="D65" s="16" t="s">
        <v>830</v>
      </c>
      <c r="E65" s="16" t="s">
        <v>831</v>
      </c>
      <c r="F65" s="17"/>
      <c r="G65" s="17" t="s">
        <v>8</v>
      </c>
      <c r="H65" s="17"/>
      <c r="I65" s="18"/>
      <c r="J65" s="17"/>
    </row>
    <row r="66" spans="1:10" ht="26.4" hidden="1" x14ac:dyDescent="0.3">
      <c r="A66" s="16" t="s">
        <v>14</v>
      </c>
      <c r="B66" s="16" t="s">
        <v>281</v>
      </c>
      <c r="C66" s="16" t="s">
        <v>282</v>
      </c>
      <c r="D66" s="16" t="s">
        <v>832</v>
      </c>
      <c r="E66" s="16" t="s">
        <v>833</v>
      </c>
      <c r="F66" s="17"/>
      <c r="G66" s="17" t="s">
        <v>8</v>
      </c>
      <c r="H66" s="17"/>
      <c r="I66" s="18"/>
      <c r="J66" s="17"/>
    </row>
    <row r="67" spans="1:10" ht="26.4" hidden="1" x14ac:dyDescent="0.3">
      <c r="A67" s="16" t="s">
        <v>14</v>
      </c>
      <c r="B67" s="16" t="s">
        <v>284</v>
      </c>
      <c r="C67" s="16" t="s">
        <v>285</v>
      </c>
      <c r="D67" s="16" t="s">
        <v>834</v>
      </c>
      <c r="E67" s="16" t="s">
        <v>835</v>
      </c>
      <c r="F67" s="17"/>
      <c r="G67" s="17" t="s">
        <v>8</v>
      </c>
      <c r="H67" s="17"/>
      <c r="I67" s="18"/>
      <c r="J67" s="17"/>
    </row>
    <row r="68" spans="1:10" ht="52.8" hidden="1" x14ac:dyDescent="0.3">
      <c r="A68" s="16" t="s">
        <v>14</v>
      </c>
      <c r="B68" s="16" t="s">
        <v>284</v>
      </c>
      <c r="C68" s="16" t="s">
        <v>287</v>
      </c>
      <c r="D68" s="16" t="s">
        <v>836</v>
      </c>
      <c r="E68" s="16" t="s">
        <v>837</v>
      </c>
      <c r="F68" s="17"/>
      <c r="G68" s="17" t="s">
        <v>8</v>
      </c>
      <c r="H68" s="17"/>
      <c r="I68" s="18"/>
      <c r="J68" s="17"/>
    </row>
    <row r="69" spans="1:10" ht="26.4" hidden="1" x14ac:dyDescent="0.3">
      <c r="A69" s="16" t="s">
        <v>14</v>
      </c>
      <c r="B69" s="16" t="s">
        <v>284</v>
      </c>
      <c r="C69" s="16" t="s">
        <v>289</v>
      </c>
      <c r="D69" s="16" t="s">
        <v>838</v>
      </c>
      <c r="E69" s="16" t="s">
        <v>839</v>
      </c>
      <c r="F69" s="17"/>
      <c r="G69" s="17" t="s">
        <v>8</v>
      </c>
      <c r="H69" s="17"/>
      <c r="I69" s="18"/>
      <c r="J69" s="17"/>
    </row>
    <row r="70" spans="1:10" ht="39.6" hidden="1" x14ac:dyDescent="0.3">
      <c r="A70" s="16" t="s">
        <v>14</v>
      </c>
      <c r="B70" s="16" t="s">
        <v>284</v>
      </c>
      <c r="C70" s="16" t="s">
        <v>291</v>
      </c>
      <c r="D70" s="16" t="s">
        <v>840</v>
      </c>
      <c r="E70" s="16" t="s">
        <v>841</v>
      </c>
      <c r="F70" s="17"/>
      <c r="G70" s="17" t="s">
        <v>8</v>
      </c>
      <c r="H70" s="17"/>
      <c r="I70" s="18"/>
      <c r="J70" s="17"/>
    </row>
    <row r="71" spans="1:10" ht="26.4" hidden="1" x14ac:dyDescent="0.3">
      <c r="A71" s="16" t="s">
        <v>14</v>
      </c>
      <c r="B71" s="16" t="s">
        <v>284</v>
      </c>
      <c r="C71" s="16" t="s">
        <v>293</v>
      </c>
      <c r="D71" s="16" t="s">
        <v>842</v>
      </c>
      <c r="E71" s="16" t="s">
        <v>843</v>
      </c>
      <c r="F71" s="17"/>
      <c r="G71" s="17" t="s">
        <v>8</v>
      </c>
      <c r="H71" s="17"/>
      <c r="I71" s="18"/>
      <c r="J71" s="17"/>
    </row>
    <row r="72" spans="1:10" ht="26.4" hidden="1" x14ac:dyDescent="0.3">
      <c r="A72" s="16" t="s">
        <v>14</v>
      </c>
      <c r="B72" s="16" t="s">
        <v>284</v>
      </c>
      <c r="C72" s="16" t="s">
        <v>295</v>
      </c>
      <c r="D72" s="16" t="s">
        <v>844</v>
      </c>
      <c r="E72" s="16" t="s">
        <v>845</v>
      </c>
      <c r="F72" s="17"/>
      <c r="G72" s="17" t="s">
        <v>8</v>
      </c>
      <c r="H72" s="17"/>
      <c r="I72" s="18"/>
      <c r="J72" s="17"/>
    </row>
    <row r="73" spans="1:10" ht="39.6" hidden="1" x14ac:dyDescent="0.3">
      <c r="A73" s="16" t="s">
        <v>14</v>
      </c>
      <c r="B73" s="16" t="s">
        <v>284</v>
      </c>
      <c r="C73" s="16" t="s">
        <v>297</v>
      </c>
      <c r="D73" s="16" t="s">
        <v>846</v>
      </c>
      <c r="E73" s="16" t="s">
        <v>847</v>
      </c>
      <c r="F73" s="17"/>
      <c r="G73" s="17" t="s">
        <v>8</v>
      </c>
      <c r="H73" s="17"/>
      <c r="I73" s="18"/>
      <c r="J73" s="17"/>
    </row>
    <row r="74" spans="1:10" ht="52.8" hidden="1" x14ac:dyDescent="0.3">
      <c r="A74" s="16" t="s">
        <v>14</v>
      </c>
      <c r="B74" s="16" t="s">
        <v>284</v>
      </c>
      <c r="C74" s="16" t="s">
        <v>299</v>
      </c>
      <c r="D74" s="16" t="s">
        <v>848</v>
      </c>
      <c r="E74" s="16" t="s">
        <v>849</v>
      </c>
      <c r="F74" s="17"/>
      <c r="G74" s="17" t="s">
        <v>8</v>
      </c>
      <c r="H74" s="17"/>
      <c r="I74" s="18"/>
      <c r="J74" s="17"/>
    </row>
    <row r="75" spans="1:10" ht="39.6" hidden="1" x14ac:dyDescent="0.3">
      <c r="A75" s="16" t="s">
        <v>14</v>
      </c>
      <c r="B75" s="16" t="s">
        <v>284</v>
      </c>
      <c r="C75" s="16" t="s">
        <v>301</v>
      </c>
      <c r="D75" s="16" t="s">
        <v>850</v>
      </c>
      <c r="E75" s="16" t="s">
        <v>851</v>
      </c>
      <c r="F75" s="17"/>
      <c r="G75" s="17" t="s">
        <v>8</v>
      </c>
      <c r="H75" s="17"/>
      <c r="I75" s="18"/>
      <c r="J75" s="17"/>
    </row>
    <row r="76" spans="1:10" ht="39.6" hidden="1" x14ac:dyDescent="0.3">
      <c r="A76" s="16" t="s">
        <v>14</v>
      </c>
      <c r="B76" s="16" t="s">
        <v>284</v>
      </c>
      <c r="C76" s="16" t="s">
        <v>303</v>
      </c>
      <c r="D76" s="16" t="s">
        <v>852</v>
      </c>
      <c r="E76" s="16" t="s">
        <v>853</v>
      </c>
      <c r="F76" s="17"/>
      <c r="G76" s="17" t="s">
        <v>8</v>
      </c>
      <c r="H76" s="17"/>
      <c r="I76" s="18"/>
      <c r="J76" s="17"/>
    </row>
    <row r="77" spans="1:10" ht="26.4" hidden="1" x14ac:dyDescent="0.3">
      <c r="A77" s="16" t="s">
        <v>14</v>
      </c>
      <c r="B77" s="16" t="s">
        <v>284</v>
      </c>
      <c r="C77" s="16" t="s">
        <v>305</v>
      </c>
      <c r="D77" s="16" t="s">
        <v>854</v>
      </c>
      <c r="E77" s="16" t="s">
        <v>855</v>
      </c>
      <c r="F77" s="17"/>
      <c r="G77" s="17" t="s">
        <v>8</v>
      </c>
      <c r="H77" s="17"/>
      <c r="I77" s="18"/>
      <c r="J77" s="17"/>
    </row>
    <row r="78" spans="1:10" ht="52.8" hidden="1" x14ac:dyDescent="0.3">
      <c r="A78" s="16" t="s">
        <v>14</v>
      </c>
      <c r="B78" s="16" t="s">
        <v>284</v>
      </c>
      <c r="C78" s="16" t="s">
        <v>307</v>
      </c>
      <c r="D78" s="16" t="s">
        <v>856</v>
      </c>
      <c r="E78" s="16" t="s">
        <v>857</v>
      </c>
      <c r="F78" s="17"/>
      <c r="G78" s="17" t="s">
        <v>8</v>
      </c>
      <c r="H78" s="17"/>
      <c r="I78" s="18"/>
      <c r="J78" s="17"/>
    </row>
    <row r="79" spans="1:10" ht="26.4" hidden="1" x14ac:dyDescent="0.3">
      <c r="A79" s="16" t="s">
        <v>14</v>
      </c>
      <c r="B79" s="16" t="s">
        <v>309</v>
      </c>
      <c r="C79" s="16" t="s">
        <v>310</v>
      </c>
      <c r="D79" s="16" t="s">
        <v>858</v>
      </c>
      <c r="E79" s="16" t="s">
        <v>859</v>
      </c>
      <c r="F79" s="17"/>
      <c r="G79" s="17" t="s">
        <v>8</v>
      </c>
      <c r="H79" s="17"/>
      <c r="I79" s="18"/>
      <c r="J79" s="17"/>
    </row>
    <row r="80" spans="1:10" ht="52.8" hidden="1" x14ac:dyDescent="0.3">
      <c r="A80" s="16" t="s">
        <v>14</v>
      </c>
      <c r="B80" s="16" t="s">
        <v>309</v>
      </c>
      <c r="C80" s="16" t="s">
        <v>312</v>
      </c>
      <c r="D80" s="16" t="s">
        <v>860</v>
      </c>
      <c r="E80" s="16" t="s">
        <v>861</v>
      </c>
      <c r="F80" s="17"/>
      <c r="G80" s="17" t="s">
        <v>8</v>
      </c>
      <c r="H80" s="17"/>
      <c r="I80" s="18"/>
      <c r="J80" s="17"/>
    </row>
    <row r="81" spans="1:10" ht="26.4" hidden="1" x14ac:dyDescent="0.3">
      <c r="A81" s="16" t="s">
        <v>14</v>
      </c>
      <c r="B81" s="16" t="s">
        <v>314</v>
      </c>
      <c r="C81" s="16" t="s">
        <v>315</v>
      </c>
      <c r="D81" s="16" t="s">
        <v>862</v>
      </c>
      <c r="E81" s="16" t="s">
        <v>863</v>
      </c>
      <c r="F81" s="17"/>
      <c r="G81" s="17" t="s">
        <v>8</v>
      </c>
      <c r="H81" s="17"/>
      <c r="I81" s="18"/>
      <c r="J81" s="17"/>
    </row>
    <row r="82" spans="1:10" ht="26.4" hidden="1" x14ac:dyDescent="0.3">
      <c r="A82" s="16" t="s">
        <v>14</v>
      </c>
      <c r="B82" s="16" t="s">
        <v>317</v>
      </c>
      <c r="C82" s="16" t="s">
        <v>318</v>
      </c>
      <c r="D82" s="16" t="s">
        <v>864</v>
      </c>
      <c r="E82" s="16" t="s">
        <v>865</v>
      </c>
      <c r="F82" s="17"/>
      <c r="G82" s="17" t="s">
        <v>8</v>
      </c>
      <c r="H82" s="17"/>
      <c r="I82" s="18"/>
      <c r="J82" s="17"/>
    </row>
    <row r="83" spans="1:10" ht="26.4" hidden="1" x14ac:dyDescent="0.3">
      <c r="A83" s="16" t="s">
        <v>14</v>
      </c>
      <c r="B83" s="16" t="s">
        <v>320</v>
      </c>
      <c r="C83" s="16" t="s">
        <v>321</v>
      </c>
      <c r="D83" s="16" t="s">
        <v>866</v>
      </c>
      <c r="E83" s="16" t="s">
        <v>867</v>
      </c>
      <c r="F83" s="17"/>
      <c r="G83" s="17" t="s">
        <v>8</v>
      </c>
      <c r="H83" s="17"/>
      <c r="I83" s="18"/>
      <c r="J83" s="17"/>
    </row>
    <row r="84" spans="1:10" hidden="1" x14ac:dyDescent="0.3">
      <c r="A84" s="16" t="s">
        <v>14</v>
      </c>
      <c r="B84" s="16" t="s">
        <v>323</v>
      </c>
      <c r="C84" s="16" t="s">
        <v>324</v>
      </c>
      <c r="D84" s="16" t="s">
        <v>868</v>
      </c>
      <c r="E84" s="16" t="s">
        <v>869</v>
      </c>
      <c r="F84" s="17"/>
      <c r="G84" s="17" t="s">
        <v>8</v>
      </c>
      <c r="H84" s="17"/>
      <c r="I84" s="18"/>
      <c r="J84" s="17"/>
    </row>
    <row r="85" spans="1:10" hidden="1" x14ac:dyDescent="0.3">
      <c r="A85" s="16" t="s">
        <v>15</v>
      </c>
      <c r="B85" s="16" t="s">
        <v>281</v>
      </c>
      <c r="C85" s="16" t="s">
        <v>361</v>
      </c>
      <c r="D85" s="16" t="s">
        <v>870</v>
      </c>
      <c r="E85" s="16" t="s">
        <v>871</v>
      </c>
      <c r="F85" s="17"/>
      <c r="G85" s="17" t="s">
        <v>8</v>
      </c>
      <c r="H85" s="17"/>
      <c r="I85" s="18"/>
      <c r="J85" s="17"/>
    </row>
    <row r="86" spans="1:10" ht="39.6" hidden="1" x14ac:dyDescent="0.3">
      <c r="A86" s="16" t="s">
        <v>15</v>
      </c>
      <c r="B86" s="16" t="s">
        <v>363</v>
      </c>
      <c r="C86" s="16" t="s">
        <v>364</v>
      </c>
      <c r="D86" s="16" t="s">
        <v>872</v>
      </c>
      <c r="E86" s="16" t="s">
        <v>873</v>
      </c>
      <c r="F86" s="17"/>
      <c r="G86" s="17" t="s">
        <v>8</v>
      </c>
      <c r="H86" s="17"/>
      <c r="I86" s="18"/>
      <c r="J86" s="17"/>
    </row>
    <row r="87" spans="1:10" ht="39.6" hidden="1" x14ac:dyDescent="0.3">
      <c r="A87" s="16" t="s">
        <v>15</v>
      </c>
      <c r="B87" s="16" t="s">
        <v>363</v>
      </c>
      <c r="C87" s="16" t="s">
        <v>366</v>
      </c>
      <c r="D87" s="16" t="s">
        <v>874</v>
      </c>
      <c r="E87" s="16" t="s">
        <v>875</v>
      </c>
      <c r="F87" s="17"/>
      <c r="G87" s="17" t="s">
        <v>8</v>
      </c>
      <c r="H87" s="17"/>
      <c r="I87" s="18"/>
      <c r="J87" s="17"/>
    </row>
    <row r="88" spans="1:10" ht="39.6" hidden="1" x14ac:dyDescent="0.3">
      <c r="A88" s="16" t="s">
        <v>15</v>
      </c>
      <c r="B88" s="16" t="s">
        <v>363</v>
      </c>
      <c r="C88" s="16" t="s">
        <v>368</v>
      </c>
      <c r="D88" s="16" t="s">
        <v>876</v>
      </c>
      <c r="E88" s="16" t="s">
        <v>877</v>
      </c>
      <c r="F88" s="17"/>
      <c r="G88" s="17" t="s">
        <v>8</v>
      </c>
      <c r="H88" s="17"/>
      <c r="I88" s="18"/>
      <c r="J88" s="17"/>
    </row>
    <row r="89" spans="1:10" ht="39.6" hidden="1" x14ac:dyDescent="0.3">
      <c r="A89" s="16" t="s">
        <v>15</v>
      </c>
      <c r="B89" s="16" t="s">
        <v>363</v>
      </c>
      <c r="C89" s="16" t="s">
        <v>370</v>
      </c>
      <c r="D89" s="16" t="s">
        <v>878</v>
      </c>
      <c r="E89" s="16" t="s">
        <v>879</v>
      </c>
      <c r="F89" s="17"/>
      <c r="G89" s="17" t="s">
        <v>8</v>
      </c>
      <c r="H89" s="17"/>
      <c r="I89" s="18"/>
      <c r="J89" s="17"/>
    </row>
    <row r="90" spans="1:10" ht="26.4" hidden="1" x14ac:dyDescent="0.3">
      <c r="A90" s="16" t="s">
        <v>15</v>
      </c>
      <c r="B90" s="16" t="s">
        <v>372</v>
      </c>
      <c r="C90" s="16" t="s">
        <v>373</v>
      </c>
      <c r="D90" s="16" t="s">
        <v>880</v>
      </c>
      <c r="E90" s="16" t="s">
        <v>881</v>
      </c>
      <c r="F90" s="17"/>
      <c r="G90" s="17" t="s">
        <v>8</v>
      </c>
      <c r="H90" s="17"/>
      <c r="I90" s="18"/>
      <c r="J90" s="17"/>
    </row>
    <row r="91" spans="1:10" ht="26.4" hidden="1" x14ac:dyDescent="0.3">
      <c r="A91" s="16" t="s">
        <v>15</v>
      </c>
      <c r="B91" s="16" t="s">
        <v>375</v>
      </c>
      <c r="C91" s="16" t="s">
        <v>376</v>
      </c>
      <c r="D91" s="16" t="s">
        <v>882</v>
      </c>
      <c r="E91" s="16" t="s">
        <v>883</v>
      </c>
      <c r="F91" s="17"/>
      <c r="G91" s="17" t="s">
        <v>8</v>
      </c>
      <c r="H91" s="17"/>
      <c r="I91" s="18"/>
      <c r="J91" s="17"/>
    </row>
    <row r="92" spans="1:10" ht="26.4" hidden="1" x14ac:dyDescent="0.3">
      <c r="A92" s="16" t="s">
        <v>15</v>
      </c>
      <c r="B92" s="16" t="s">
        <v>378</v>
      </c>
      <c r="C92" s="16" t="s">
        <v>379</v>
      </c>
      <c r="D92" s="16" t="s">
        <v>884</v>
      </c>
      <c r="E92" s="16" t="s">
        <v>885</v>
      </c>
      <c r="F92" s="17"/>
      <c r="G92" s="17" t="s">
        <v>8</v>
      </c>
      <c r="H92" s="17"/>
      <c r="I92" s="18"/>
      <c r="J92" s="17"/>
    </row>
    <row r="93" spans="1:10" ht="52.8" hidden="1" x14ac:dyDescent="0.3">
      <c r="A93" s="16" t="s">
        <v>15</v>
      </c>
      <c r="B93" s="16" t="s">
        <v>381</v>
      </c>
      <c r="C93" s="16" t="s">
        <v>382</v>
      </c>
      <c r="D93" s="16" t="s">
        <v>886</v>
      </c>
      <c r="E93" s="16" t="s">
        <v>887</v>
      </c>
      <c r="F93" s="17"/>
      <c r="G93" s="17" t="s">
        <v>8</v>
      </c>
      <c r="H93" s="17"/>
      <c r="I93" s="18"/>
      <c r="J93" s="17"/>
    </row>
    <row r="94" spans="1:10" x14ac:dyDescent="0.3">
      <c r="A94" s="16" t="s">
        <v>16</v>
      </c>
      <c r="B94" s="16" t="s">
        <v>281</v>
      </c>
      <c r="C94" s="16" t="s">
        <v>393</v>
      </c>
      <c r="D94" s="16" t="s">
        <v>870</v>
      </c>
      <c r="E94" s="16" t="s">
        <v>888</v>
      </c>
      <c r="F94" s="17"/>
      <c r="G94" s="17"/>
      <c r="H94" s="17"/>
      <c r="I94" s="18"/>
      <c r="J94" s="17"/>
    </row>
    <row r="95" spans="1:10" ht="132" x14ac:dyDescent="0.3">
      <c r="A95" s="16" t="s">
        <v>16</v>
      </c>
      <c r="B95" s="16" t="s">
        <v>395</v>
      </c>
      <c r="C95" s="16" t="s">
        <v>1279</v>
      </c>
      <c r="D95" s="16" t="s">
        <v>1280</v>
      </c>
      <c r="E95" s="16" t="s">
        <v>1284</v>
      </c>
      <c r="F95" s="17"/>
      <c r="G95" s="17" t="s">
        <v>6</v>
      </c>
      <c r="H95" s="17"/>
      <c r="I95" s="18"/>
      <c r="J95" s="17"/>
    </row>
    <row r="96" spans="1:10" ht="26.4" x14ac:dyDescent="0.3">
      <c r="A96" s="16" t="s">
        <v>16</v>
      </c>
      <c r="B96" s="16" t="s">
        <v>395</v>
      </c>
      <c r="C96" s="16" t="s">
        <v>1281</v>
      </c>
      <c r="D96" s="16" t="s">
        <v>1282</v>
      </c>
      <c r="E96" s="16" t="s">
        <v>1283</v>
      </c>
      <c r="F96" s="17"/>
      <c r="G96" s="17" t="s">
        <v>6</v>
      </c>
      <c r="H96" s="17"/>
      <c r="I96" s="18"/>
      <c r="J96" s="17"/>
    </row>
    <row r="97" spans="1:10" ht="39.6" x14ac:dyDescent="0.3">
      <c r="A97" s="16" t="s">
        <v>16</v>
      </c>
      <c r="B97" s="16" t="s">
        <v>395</v>
      </c>
      <c r="C97" s="16" t="s">
        <v>396</v>
      </c>
      <c r="D97" s="16" t="s">
        <v>889</v>
      </c>
      <c r="E97" s="16" t="s">
        <v>890</v>
      </c>
      <c r="F97" s="17"/>
      <c r="G97" s="17"/>
      <c r="H97" s="17"/>
      <c r="I97" s="18"/>
      <c r="J97" s="17"/>
    </row>
    <row r="98" spans="1:10" ht="26.4" x14ac:dyDescent="0.3">
      <c r="A98" s="16" t="s">
        <v>16</v>
      </c>
      <c r="B98" s="16" t="s">
        <v>395</v>
      </c>
      <c r="C98" s="16" t="s">
        <v>398</v>
      </c>
      <c r="D98" s="16" t="s">
        <v>891</v>
      </c>
      <c r="E98" s="16" t="s">
        <v>892</v>
      </c>
      <c r="F98" s="17"/>
      <c r="G98" s="17"/>
      <c r="H98" s="17"/>
      <c r="I98" s="18"/>
      <c r="J98" s="17"/>
    </row>
    <row r="99" spans="1:10" ht="26.4" x14ac:dyDescent="0.3">
      <c r="A99" s="16" t="s">
        <v>16</v>
      </c>
      <c r="B99" s="16" t="s">
        <v>395</v>
      </c>
      <c r="C99" s="16" t="s">
        <v>400</v>
      </c>
      <c r="D99" s="16" t="s">
        <v>893</v>
      </c>
      <c r="E99" s="16" t="s">
        <v>894</v>
      </c>
      <c r="F99" s="17"/>
      <c r="G99" s="17"/>
      <c r="H99" s="17"/>
      <c r="I99" s="18"/>
      <c r="J99" s="17"/>
    </row>
    <row r="100" spans="1:10" ht="26.4" x14ac:dyDescent="0.3">
      <c r="A100" s="16" t="s">
        <v>16</v>
      </c>
      <c r="B100" s="16" t="s">
        <v>395</v>
      </c>
      <c r="C100" s="16" t="s">
        <v>402</v>
      </c>
      <c r="D100" s="16" t="s">
        <v>895</v>
      </c>
      <c r="E100" s="16" t="s">
        <v>896</v>
      </c>
      <c r="F100" s="17"/>
      <c r="G100" s="17"/>
      <c r="H100" s="17"/>
      <c r="I100" s="18"/>
      <c r="J100" s="17"/>
    </row>
    <row r="101" spans="1:10" ht="52.8" x14ac:dyDescent="0.3">
      <c r="A101" s="16" t="s">
        <v>16</v>
      </c>
      <c r="B101" s="16" t="s">
        <v>395</v>
      </c>
      <c r="C101" s="16" t="s">
        <v>404</v>
      </c>
      <c r="D101" s="16" t="s">
        <v>897</v>
      </c>
      <c r="E101" s="16" t="s">
        <v>898</v>
      </c>
      <c r="F101" s="17"/>
      <c r="G101" s="17"/>
      <c r="H101" s="17"/>
      <c r="I101" s="18"/>
      <c r="J101" s="17"/>
    </row>
    <row r="102" spans="1:10" ht="26.4" x14ac:dyDescent="0.3">
      <c r="A102" s="16" t="s">
        <v>16</v>
      </c>
      <c r="B102" s="16" t="s">
        <v>395</v>
      </c>
      <c r="C102" s="16" t="s">
        <v>406</v>
      </c>
      <c r="D102" s="16" t="s">
        <v>899</v>
      </c>
      <c r="E102" s="16" t="s">
        <v>900</v>
      </c>
      <c r="F102" s="17"/>
      <c r="G102" s="17"/>
      <c r="H102" s="17"/>
      <c r="I102" s="18"/>
      <c r="J102" s="17"/>
    </row>
    <row r="103" spans="1:10" ht="26.4" x14ac:dyDescent="0.3">
      <c r="A103" s="16" t="s">
        <v>16</v>
      </c>
      <c r="B103" s="16" t="s">
        <v>395</v>
      </c>
      <c r="C103" s="16" t="s">
        <v>408</v>
      </c>
      <c r="D103" s="16" t="s">
        <v>901</v>
      </c>
      <c r="E103" s="16" t="s">
        <v>845</v>
      </c>
      <c r="F103" s="17"/>
      <c r="G103" s="17"/>
      <c r="H103" s="17"/>
      <c r="I103" s="18"/>
      <c r="J103" s="17"/>
    </row>
    <row r="104" spans="1:10" ht="26.4" x14ac:dyDescent="0.3">
      <c r="A104" s="16" t="s">
        <v>16</v>
      </c>
      <c r="B104" s="16" t="s">
        <v>410</v>
      </c>
      <c r="C104" s="16" t="s">
        <v>411</v>
      </c>
      <c r="D104" s="16" t="s">
        <v>902</v>
      </c>
      <c r="E104" s="16" t="s">
        <v>903</v>
      </c>
      <c r="F104" s="17"/>
      <c r="G104" s="17"/>
      <c r="H104" s="17"/>
      <c r="I104" s="18"/>
      <c r="J104" s="17"/>
    </row>
    <row r="105" spans="1:10" ht="39.6" x14ac:dyDescent="0.3">
      <c r="A105" s="16" t="s">
        <v>16</v>
      </c>
      <c r="B105" s="16" t="s">
        <v>410</v>
      </c>
      <c r="C105" s="16" t="s">
        <v>413</v>
      </c>
      <c r="D105" s="16" t="s">
        <v>904</v>
      </c>
      <c r="E105" s="16" t="s">
        <v>905</v>
      </c>
      <c r="F105" s="17"/>
      <c r="G105" s="17"/>
      <c r="H105" s="17"/>
      <c r="I105" s="18"/>
      <c r="J105" s="17"/>
    </row>
    <row r="106" spans="1:10" ht="26.4" x14ac:dyDescent="0.3">
      <c r="A106" s="16" t="s">
        <v>16</v>
      </c>
      <c r="B106" s="16" t="s">
        <v>415</v>
      </c>
      <c r="C106" s="16" t="s">
        <v>416</v>
      </c>
      <c r="D106" s="16" t="s">
        <v>906</v>
      </c>
      <c r="E106" s="16" t="s">
        <v>907</v>
      </c>
      <c r="F106" s="17"/>
      <c r="G106" s="17"/>
      <c r="H106" s="17"/>
      <c r="I106" s="18"/>
      <c r="J106" s="17"/>
    </row>
    <row r="107" spans="1:10" hidden="1" x14ac:dyDescent="0.3">
      <c r="A107" s="16" t="s">
        <v>17</v>
      </c>
      <c r="B107" s="16" t="s">
        <v>281</v>
      </c>
      <c r="C107" s="16" t="s">
        <v>434</v>
      </c>
      <c r="D107" s="16" t="s">
        <v>870</v>
      </c>
      <c r="E107" s="16" t="s">
        <v>888</v>
      </c>
      <c r="F107" s="17"/>
      <c r="G107" s="17" t="s">
        <v>8</v>
      </c>
      <c r="H107" s="17"/>
      <c r="I107" s="18"/>
      <c r="J107" s="17"/>
    </row>
    <row r="108" spans="1:10" ht="39.6" hidden="1" x14ac:dyDescent="0.3">
      <c r="A108" s="16" t="s">
        <v>17</v>
      </c>
      <c r="B108" s="16" t="s">
        <v>436</v>
      </c>
      <c r="C108" s="16" t="s">
        <v>437</v>
      </c>
      <c r="D108" s="16" t="s">
        <v>908</v>
      </c>
      <c r="E108" s="16" t="s">
        <v>909</v>
      </c>
      <c r="F108" s="17"/>
      <c r="G108" s="17" t="s">
        <v>8</v>
      </c>
      <c r="H108" s="17"/>
      <c r="I108" s="18"/>
      <c r="J108" s="17"/>
    </row>
    <row r="109" spans="1:10" ht="26.4" hidden="1" x14ac:dyDescent="0.3">
      <c r="A109" s="16" t="s">
        <v>17</v>
      </c>
      <c r="B109" s="16" t="s">
        <v>436</v>
      </c>
      <c r="C109" s="16" t="s">
        <v>439</v>
      </c>
      <c r="D109" s="16" t="s">
        <v>910</v>
      </c>
      <c r="E109" s="16" t="s">
        <v>911</v>
      </c>
      <c r="F109" s="17"/>
      <c r="G109" s="17" t="s">
        <v>8</v>
      </c>
      <c r="H109" s="17"/>
      <c r="I109" s="18"/>
      <c r="J109" s="17"/>
    </row>
    <row r="110" spans="1:10" ht="26.4" hidden="1" x14ac:dyDescent="0.3">
      <c r="A110" s="16" t="s">
        <v>17</v>
      </c>
      <c r="B110" s="16" t="s">
        <v>436</v>
      </c>
      <c r="C110" s="16" t="s">
        <v>441</v>
      </c>
      <c r="D110" s="16" t="s">
        <v>912</v>
      </c>
      <c r="E110" s="16" t="s">
        <v>913</v>
      </c>
      <c r="F110" s="17"/>
      <c r="G110" s="17" t="s">
        <v>8</v>
      </c>
      <c r="H110" s="17"/>
      <c r="I110" s="18"/>
      <c r="J110" s="17"/>
    </row>
    <row r="111" spans="1:10" ht="26.4" hidden="1" x14ac:dyDescent="0.3">
      <c r="A111" s="16" t="s">
        <v>17</v>
      </c>
      <c r="B111" s="16" t="s">
        <v>443</v>
      </c>
      <c r="C111" s="16" t="s">
        <v>444</v>
      </c>
      <c r="D111" s="16" t="s">
        <v>914</v>
      </c>
      <c r="E111" s="16" t="s">
        <v>915</v>
      </c>
      <c r="F111" s="17"/>
      <c r="G111" s="17" t="s">
        <v>8</v>
      </c>
      <c r="H111" s="17"/>
      <c r="I111" s="18"/>
      <c r="J111" s="17"/>
    </row>
    <row r="112" spans="1:10" ht="26.4" hidden="1" x14ac:dyDescent="0.3">
      <c r="A112" s="16" t="s">
        <v>17</v>
      </c>
      <c r="B112" s="16" t="s">
        <v>446</v>
      </c>
      <c r="C112" s="16" t="s">
        <v>447</v>
      </c>
      <c r="D112" s="16" t="s">
        <v>916</v>
      </c>
      <c r="E112" s="16" t="s">
        <v>917</v>
      </c>
      <c r="F112" s="17"/>
      <c r="G112" s="17" t="s">
        <v>8</v>
      </c>
      <c r="H112" s="17"/>
      <c r="I112" s="18"/>
      <c r="J112" s="17"/>
    </row>
    <row r="113" spans="1:10" ht="26.4" hidden="1" x14ac:dyDescent="0.3">
      <c r="A113" s="16" t="s">
        <v>17</v>
      </c>
      <c r="B113" s="16" t="s">
        <v>446</v>
      </c>
      <c r="C113" s="16" t="s">
        <v>449</v>
      </c>
      <c r="D113" s="16" t="s">
        <v>918</v>
      </c>
      <c r="E113" s="16" t="s">
        <v>919</v>
      </c>
      <c r="F113" s="17"/>
      <c r="G113" s="17" t="s">
        <v>8</v>
      </c>
      <c r="H113" s="17"/>
      <c r="I113" s="18"/>
      <c r="J113" s="17"/>
    </row>
    <row r="114" spans="1:10" ht="26.4" hidden="1" x14ac:dyDescent="0.3">
      <c r="A114" s="16" t="s">
        <v>17</v>
      </c>
      <c r="B114" s="16" t="s">
        <v>451</v>
      </c>
      <c r="C114" s="16" t="s">
        <v>452</v>
      </c>
      <c r="D114" s="16" t="s">
        <v>920</v>
      </c>
      <c r="E114" s="16" t="s">
        <v>921</v>
      </c>
      <c r="F114" s="17"/>
      <c r="G114" s="17" t="s">
        <v>8</v>
      </c>
      <c r="H114" s="17"/>
      <c r="I114" s="18"/>
      <c r="J114" s="17"/>
    </row>
    <row r="115" spans="1:10" ht="26.4" hidden="1" x14ac:dyDescent="0.3">
      <c r="A115" s="16" t="s">
        <v>17</v>
      </c>
      <c r="B115" s="16" t="s">
        <v>454</v>
      </c>
      <c r="C115" s="16" t="s">
        <v>455</v>
      </c>
      <c r="D115" s="16" t="s">
        <v>922</v>
      </c>
      <c r="E115" s="16" t="s">
        <v>923</v>
      </c>
      <c r="F115" s="17"/>
      <c r="G115" s="17" t="s">
        <v>8</v>
      </c>
      <c r="H115" s="17"/>
      <c r="I115" s="18"/>
      <c r="J115" s="17"/>
    </row>
    <row r="116" spans="1:10" ht="26.4" hidden="1" x14ac:dyDescent="0.3">
      <c r="A116" s="16" t="s">
        <v>17</v>
      </c>
      <c r="B116" s="16" t="s">
        <v>457</v>
      </c>
      <c r="C116" s="16" t="s">
        <v>458</v>
      </c>
      <c r="D116" s="16" t="s">
        <v>924</v>
      </c>
      <c r="E116" s="16" t="s">
        <v>925</v>
      </c>
      <c r="F116" s="17"/>
      <c r="G116" s="17" t="s">
        <v>8</v>
      </c>
      <c r="H116" s="17"/>
      <c r="I116" s="18"/>
      <c r="J116" s="17"/>
    </row>
    <row r="117" spans="1:10" hidden="1" x14ac:dyDescent="0.3">
      <c r="A117" s="16" t="s">
        <v>17</v>
      </c>
      <c r="B117" s="16" t="s">
        <v>460</v>
      </c>
      <c r="C117" s="16" t="s">
        <v>461</v>
      </c>
      <c r="D117" s="16" t="s">
        <v>868</v>
      </c>
      <c r="E117" s="16" t="s">
        <v>926</v>
      </c>
      <c r="F117" s="17"/>
      <c r="G117" s="17" t="s">
        <v>8</v>
      </c>
      <c r="H117" s="17"/>
      <c r="I117" s="18"/>
      <c r="J117" s="17"/>
    </row>
    <row r="118" spans="1:10" ht="26.4" hidden="1" x14ac:dyDescent="0.3">
      <c r="A118" s="16" t="s">
        <v>18</v>
      </c>
      <c r="B118" s="16" t="s">
        <v>281</v>
      </c>
      <c r="C118" s="16" t="s">
        <v>475</v>
      </c>
      <c r="D118" s="16" t="s">
        <v>870</v>
      </c>
      <c r="E118" s="16" t="s">
        <v>888</v>
      </c>
      <c r="F118" s="17"/>
      <c r="G118" s="17" t="s">
        <v>8</v>
      </c>
      <c r="H118" s="17"/>
      <c r="I118" s="18"/>
      <c r="J118" s="17"/>
    </row>
    <row r="119" spans="1:10" ht="26.4" hidden="1" x14ac:dyDescent="0.3">
      <c r="A119" s="16" t="s">
        <v>18</v>
      </c>
      <c r="B119" s="16" t="s">
        <v>477</v>
      </c>
      <c r="C119" s="16" t="s">
        <v>478</v>
      </c>
      <c r="D119" s="16" t="s">
        <v>927</v>
      </c>
      <c r="E119" s="16" t="s">
        <v>928</v>
      </c>
      <c r="F119" s="17"/>
      <c r="G119" s="17" t="s">
        <v>8</v>
      </c>
      <c r="H119" s="17"/>
      <c r="I119" s="18"/>
      <c r="J119" s="17"/>
    </row>
    <row r="120" spans="1:10" ht="39.6" hidden="1" x14ac:dyDescent="0.3">
      <c r="A120" s="16" t="s">
        <v>18</v>
      </c>
      <c r="B120" s="16" t="s">
        <v>477</v>
      </c>
      <c r="C120" s="16" t="s">
        <v>480</v>
      </c>
      <c r="D120" s="16" t="s">
        <v>929</v>
      </c>
      <c r="E120" s="16" t="s">
        <v>930</v>
      </c>
      <c r="F120" s="17"/>
      <c r="G120" s="17" t="s">
        <v>8</v>
      </c>
      <c r="H120" s="17"/>
      <c r="I120" s="18"/>
      <c r="J120" s="17"/>
    </row>
    <row r="121" spans="1:10" ht="26.4" hidden="1" x14ac:dyDescent="0.3">
      <c r="A121" s="16" t="s">
        <v>18</v>
      </c>
      <c r="B121" s="16" t="s">
        <v>477</v>
      </c>
      <c r="C121" s="16" t="s">
        <v>482</v>
      </c>
      <c r="D121" s="16" t="s">
        <v>931</v>
      </c>
      <c r="E121" s="16" t="s">
        <v>932</v>
      </c>
      <c r="F121" s="17"/>
      <c r="G121" s="17" t="s">
        <v>8</v>
      </c>
      <c r="H121" s="17"/>
      <c r="I121" s="18"/>
      <c r="J121" s="17"/>
    </row>
    <row r="122" spans="1:10" ht="39.6" hidden="1" x14ac:dyDescent="0.3">
      <c r="A122" s="16" t="s">
        <v>18</v>
      </c>
      <c r="B122" s="16" t="s">
        <v>477</v>
      </c>
      <c r="C122" s="16" t="s">
        <v>484</v>
      </c>
      <c r="D122" s="16" t="s">
        <v>933</v>
      </c>
      <c r="E122" s="16" t="s">
        <v>934</v>
      </c>
      <c r="F122" s="17"/>
      <c r="G122" s="17" t="s">
        <v>8</v>
      </c>
      <c r="H122" s="17"/>
      <c r="I122" s="18"/>
      <c r="J122" s="17"/>
    </row>
    <row r="123" spans="1:10" ht="26.4" hidden="1" x14ac:dyDescent="0.3">
      <c r="A123" s="16" t="s">
        <v>18</v>
      </c>
      <c r="B123" s="16" t="s">
        <v>477</v>
      </c>
      <c r="C123" s="16" t="s">
        <v>486</v>
      </c>
      <c r="D123" s="16" t="s">
        <v>935</v>
      </c>
      <c r="E123" s="16" t="s">
        <v>936</v>
      </c>
      <c r="F123" s="17"/>
      <c r="G123" s="17" t="s">
        <v>8</v>
      </c>
      <c r="H123" s="17"/>
      <c r="I123" s="18"/>
      <c r="J123" s="17"/>
    </row>
    <row r="124" spans="1:10" ht="26.4" hidden="1" x14ac:dyDescent="0.3">
      <c r="A124" s="16" t="s">
        <v>18</v>
      </c>
      <c r="B124" s="16" t="s">
        <v>477</v>
      </c>
      <c r="C124" s="16" t="s">
        <v>488</v>
      </c>
      <c r="D124" s="16" t="s">
        <v>937</v>
      </c>
      <c r="E124" s="16" t="s">
        <v>879</v>
      </c>
      <c r="F124" s="17"/>
      <c r="G124" s="17" t="s">
        <v>8</v>
      </c>
      <c r="H124" s="17"/>
      <c r="I124" s="18"/>
      <c r="J124" s="17"/>
    </row>
    <row r="125" spans="1:10" hidden="1" x14ac:dyDescent="0.3">
      <c r="A125" s="16" t="s">
        <v>19</v>
      </c>
      <c r="B125" s="16" t="s">
        <v>281</v>
      </c>
      <c r="C125" s="16" t="s">
        <v>504</v>
      </c>
      <c r="D125" s="16" t="s">
        <v>870</v>
      </c>
      <c r="E125" s="16" t="s">
        <v>888</v>
      </c>
      <c r="F125" s="17"/>
      <c r="G125" s="17" t="s">
        <v>8</v>
      </c>
      <c r="H125" s="17"/>
      <c r="I125" s="18"/>
      <c r="J125" s="17"/>
    </row>
    <row r="126" spans="1:10" ht="26.4" hidden="1" x14ac:dyDescent="0.3">
      <c r="A126" s="16" t="s">
        <v>19</v>
      </c>
      <c r="B126" s="16" t="s">
        <v>19</v>
      </c>
      <c r="C126" s="16" t="s">
        <v>506</v>
      </c>
      <c r="D126" s="16" t="s">
        <v>938</v>
      </c>
      <c r="E126" s="16" t="s">
        <v>939</v>
      </c>
      <c r="F126" s="17"/>
      <c r="G126" s="17" t="s">
        <v>8</v>
      </c>
      <c r="H126" s="17"/>
      <c r="I126" s="18"/>
      <c r="J126" s="17"/>
    </row>
    <row r="127" spans="1:10" ht="66" hidden="1" x14ac:dyDescent="0.3">
      <c r="A127" s="16" t="s">
        <v>19</v>
      </c>
      <c r="B127" s="16" t="s">
        <v>19</v>
      </c>
      <c r="C127" s="16" t="s">
        <v>508</v>
      </c>
      <c r="D127" s="16" t="s">
        <v>940</v>
      </c>
      <c r="E127" s="16" t="s">
        <v>941</v>
      </c>
      <c r="F127" s="17"/>
      <c r="G127" s="17" t="s">
        <v>8</v>
      </c>
      <c r="H127" s="17"/>
      <c r="I127" s="18"/>
      <c r="J127" s="17"/>
    </row>
    <row r="128" spans="1:10" ht="52.8" hidden="1" x14ac:dyDescent="0.3">
      <c r="A128" s="16" t="s">
        <v>19</v>
      </c>
      <c r="B128" s="16" t="s">
        <v>19</v>
      </c>
      <c r="C128" s="16" t="s">
        <v>510</v>
      </c>
      <c r="D128" s="16" t="s">
        <v>942</v>
      </c>
      <c r="E128" s="16" t="s">
        <v>943</v>
      </c>
      <c r="F128" s="17"/>
      <c r="G128" s="17" t="s">
        <v>8</v>
      </c>
      <c r="H128" s="17"/>
      <c r="I128" s="18"/>
      <c r="J128" s="17"/>
    </row>
    <row r="129" spans="1:10" ht="26.4" hidden="1" x14ac:dyDescent="0.3">
      <c r="A129" s="16" t="s">
        <v>19</v>
      </c>
      <c r="B129" s="16" t="s">
        <v>19</v>
      </c>
      <c r="C129" s="16" t="s">
        <v>512</v>
      </c>
      <c r="D129" s="16" t="s">
        <v>944</v>
      </c>
      <c r="E129" s="16" t="s">
        <v>945</v>
      </c>
      <c r="F129" s="17"/>
      <c r="G129" s="17" t="s">
        <v>8</v>
      </c>
      <c r="H129" s="17"/>
      <c r="I129" s="18"/>
      <c r="J129" s="17"/>
    </row>
    <row r="130" spans="1:10" ht="26.4" hidden="1" x14ac:dyDescent="0.3">
      <c r="A130" s="16" t="s">
        <v>19</v>
      </c>
      <c r="B130" s="16" t="s">
        <v>19</v>
      </c>
      <c r="C130" s="16" t="s">
        <v>514</v>
      </c>
      <c r="D130" s="16" t="s">
        <v>946</v>
      </c>
      <c r="E130" s="16" t="s">
        <v>947</v>
      </c>
      <c r="F130" s="17"/>
      <c r="G130" s="17" t="s">
        <v>8</v>
      </c>
      <c r="H130" s="17"/>
      <c r="I130" s="18"/>
      <c r="J130" s="17"/>
    </row>
    <row r="131" spans="1:10" ht="52.8" hidden="1" x14ac:dyDescent="0.3">
      <c r="A131" s="16" t="s">
        <v>20</v>
      </c>
      <c r="B131" s="16" t="s">
        <v>527</v>
      </c>
      <c r="C131" s="16" t="s">
        <v>528</v>
      </c>
      <c r="D131" s="16" t="s">
        <v>948</v>
      </c>
      <c r="E131" s="16" t="s">
        <v>949</v>
      </c>
      <c r="F131" s="17"/>
      <c r="G131" s="17" t="s">
        <v>8</v>
      </c>
      <c r="H131" s="17"/>
      <c r="I131" s="18"/>
      <c r="J131" s="17"/>
    </row>
    <row r="132" spans="1:10" ht="26.4" hidden="1" x14ac:dyDescent="0.3">
      <c r="A132" s="16" t="s">
        <v>20</v>
      </c>
      <c r="B132" s="16" t="s">
        <v>530</v>
      </c>
      <c r="C132" s="16" t="s">
        <v>531</v>
      </c>
      <c r="D132" s="16" t="s">
        <v>950</v>
      </c>
      <c r="E132" s="16" t="s">
        <v>951</v>
      </c>
      <c r="F132" s="17"/>
      <c r="G132" s="17" t="s">
        <v>8</v>
      </c>
      <c r="H132" s="17"/>
      <c r="I132" s="18"/>
      <c r="J132" s="17"/>
    </row>
    <row r="133" spans="1:10" ht="26.4" hidden="1" x14ac:dyDescent="0.3">
      <c r="A133" s="16" t="s">
        <v>20</v>
      </c>
      <c r="B133" s="16" t="s">
        <v>533</v>
      </c>
      <c r="C133" s="16" t="s">
        <v>534</v>
      </c>
      <c r="D133" s="16" t="s">
        <v>950</v>
      </c>
      <c r="E133" s="16" t="s">
        <v>951</v>
      </c>
      <c r="F133" s="17"/>
      <c r="G133" s="17" t="s">
        <v>8</v>
      </c>
      <c r="H133" s="17"/>
      <c r="I133" s="18"/>
      <c r="J133" s="17"/>
    </row>
    <row r="134" spans="1:10" ht="26.4" hidden="1" x14ac:dyDescent="0.3">
      <c r="A134" s="16" t="s">
        <v>20</v>
      </c>
      <c r="B134" s="16" t="s">
        <v>536</v>
      </c>
      <c r="C134" s="16" t="s">
        <v>537</v>
      </c>
      <c r="D134" s="16" t="s">
        <v>950</v>
      </c>
      <c r="E134" s="16" t="s">
        <v>951</v>
      </c>
      <c r="F134" s="17"/>
      <c r="G134" s="17" t="s">
        <v>8</v>
      </c>
      <c r="H134" s="17"/>
      <c r="I134" s="18"/>
      <c r="J134" s="17"/>
    </row>
    <row r="135" spans="1:10" ht="26.4" hidden="1" x14ac:dyDescent="0.3">
      <c r="A135" s="16" t="s">
        <v>20</v>
      </c>
      <c r="B135" s="16" t="s">
        <v>539</v>
      </c>
      <c r="C135" s="16" t="s">
        <v>540</v>
      </c>
      <c r="D135" s="16" t="s">
        <v>950</v>
      </c>
      <c r="E135" s="16" t="s">
        <v>951</v>
      </c>
      <c r="F135" s="17"/>
      <c r="G135" s="17" t="s">
        <v>8</v>
      </c>
      <c r="H135" s="17"/>
      <c r="I135" s="18"/>
      <c r="J135" s="17"/>
    </row>
    <row r="136" spans="1:10" ht="26.4" hidden="1" x14ac:dyDescent="0.3">
      <c r="A136" s="16" t="s">
        <v>20</v>
      </c>
      <c r="B136" s="16" t="s">
        <v>542</v>
      </c>
      <c r="C136" s="16" t="s">
        <v>543</v>
      </c>
      <c r="D136" s="16" t="s">
        <v>950</v>
      </c>
      <c r="E136" s="16" t="s">
        <v>951</v>
      </c>
      <c r="F136" s="17"/>
      <c r="G136" s="17" t="s">
        <v>8</v>
      </c>
      <c r="H136" s="17"/>
      <c r="I136" s="18"/>
      <c r="J136" s="17"/>
    </row>
    <row r="137" spans="1:10" ht="26.4" hidden="1" x14ac:dyDescent="0.3">
      <c r="A137" s="16" t="s">
        <v>20</v>
      </c>
      <c r="B137" s="16" t="s">
        <v>545</v>
      </c>
      <c r="C137" s="16" t="s">
        <v>546</v>
      </c>
      <c r="D137" s="16" t="s">
        <v>950</v>
      </c>
      <c r="E137" s="16" t="s">
        <v>951</v>
      </c>
      <c r="F137" s="17"/>
      <c r="G137" s="17" t="s">
        <v>8</v>
      </c>
      <c r="H137" s="17"/>
      <c r="I137" s="18"/>
      <c r="J137" s="17"/>
    </row>
    <row r="138" spans="1:10" ht="26.4" hidden="1" x14ac:dyDescent="0.3">
      <c r="A138" s="16" t="s">
        <v>20</v>
      </c>
      <c r="B138" s="16" t="s">
        <v>548</v>
      </c>
      <c r="C138" s="16" t="s">
        <v>549</v>
      </c>
      <c r="D138" s="16" t="s">
        <v>950</v>
      </c>
      <c r="E138" s="16" t="s">
        <v>951</v>
      </c>
      <c r="F138" s="17"/>
      <c r="G138" s="17" t="s">
        <v>8</v>
      </c>
      <c r="H138" s="17"/>
      <c r="I138" s="18"/>
      <c r="J138" s="17"/>
    </row>
    <row r="139" spans="1:10" ht="66" hidden="1" x14ac:dyDescent="0.3">
      <c r="A139" s="16" t="s">
        <v>20</v>
      </c>
      <c r="B139" s="16" t="s">
        <v>551</v>
      </c>
      <c r="C139" s="16" t="s">
        <v>552</v>
      </c>
      <c r="D139" s="16" t="s">
        <v>952</v>
      </c>
      <c r="E139" s="16" t="s">
        <v>953</v>
      </c>
      <c r="F139" s="17"/>
      <c r="G139" s="17" t="s">
        <v>8</v>
      </c>
      <c r="H139" s="17"/>
      <c r="I139" s="18"/>
      <c r="J139" s="17"/>
    </row>
    <row r="140" spans="1:10" ht="26.4" hidden="1" x14ac:dyDescent="0.3">
      <c r="A140" s="16" t="s">
        <v>20</v>
      </c>
      <c r="B140" s="16" t="s">
        <v>551</v>
      </c>
      <c r="C140" s="16" t="s">
        <v>554</v>
      </c>
      <c r="D140" s="16" t="s">
        <v>954</v>
      </c>
      <c r="E140" s="16" t="s">
        <v>955</v>
      </c>
      <c r="F140" s="17"/>
      <c r="G140" s="17" t="s">
        <v>8</v>
      </c>
      <c r="H140" s="17"/>
      <c r="I140" s="18"/>
      <c r="J140" s="17"/>
    </row>
    <row r="141" spans="1:10" ht="26.4" hidden="1" x14ac:dyDescent="0.3">
      <c r="A141" s="16" t="s">
        <v>20</v>
      </c>
      <c r="B141" s="16" t="s">
        <v>556</v>
      </c>
      <c r="C141" s="16" t="s">
        <v>557</v>
      </c>
      <c r="D141" s="16" t="s">
        <v>956</v>
      </c>
      <c r="E141" s="16" t="s">
        <v>957</v>
      </c>
      <c r="F141" s="17"/>
      <c r="G141" s="17" t="s">
        <v>8</v>
      </c>
      <c r="H141" s="17"/>
      <c r="I141" s="18"/>
      <c r="J141" s="17"/>
    </row>
    <row r="142" spans="1:10" ht="26.4" hidden="1" x14ac:dyDescent="0.3">
      <c r="A142" s="16" t="s">
        <v>21</v>
      </c>
      <c r="B142" s="16" t="s">
        <v>598</v>
      </c>
      <c r="C142" s="16" t="s">
        <v>599</v>
      </c>
      <c r="D142" s="16" t="s">
        <v>958</v>
      </c>
      <c r="E142" s="16" t="s">
        <v>959</v>
      </c>
      <c r="F142" s="17"/>
      <c r="G142" s="17" t="s">
        <v>8</v>
      </c>
      <c r="H142" s="17"/>
      <c r="I142" s="18"/>
      <c r="J142" s="17"/>
    </row>
    <row r="143" spans="1:10" ht="26.4" hidden="1" x14ac:dyDescent="0.3">
      <c r="A143" s="16" t="s">
        <v>21</v>
      </c>
      <c r="B143" s="16" t="s">
        <v>601</v>
      </c>
      <c r="C143" s="16" t="s">
        <v>602</v>
      </c>
      <c r="D143" s="16" t="s">
        <v>960</v>
      </c>
      <c r="E143" s="16" t="s">
        <v>961</v>
      </c>
      <c r="F143" s="17"/>
      <c r="G143" s="17" t="s">
        <v>8</v>
      </c>
      <c r="H143" s="17"/>
      <c r="I143" s="18"/>
      <c r="J143" s="17"/>
    </row>
    <row r="144" spans="1:10" ht="52.8" hidden="1" x14ac:dyDescent="0.3">
      <c r="A144" s="16" t="s">
        <v>21</v>
      </c>
      <c r="B144" s="16" t="s">
        <v>601</v>
      </c>
      <c r="C144" s="16" t="s">
        <v>604</v>
      </c>
      <c r="D144" s="16" t="s">
        <v>962</v>
      </c>
      <c r="E144" s="16" t="s">
        <v>963</v>
      </c>
      <c r="F144" s="17"/>
      <c r="G144" s="17" t="s">
        <v>8</v>
      </c>
      <c r="H144" s="17"/>
      <c r="I144" s="18"/>
      <c r="J144" s="17"/>
    </row>
    <row r="145" spans="1:10" ht="26.4" hidden="1" x14ac:dyDescent="0.3">
      <c r="A145" s="16" t="s">
        <v>21</v>
      </c>
      <c r="B145" s="16" t="s">
        <v>601</v>
      </c>
      <c r="C145" s="16" t="s">
        <v>606</v>
      </c>
      <c r="D145" s="16" t="s">
        <v>964</v>
      </c>
      <c r="E145" s="16" t="s">
        <v>965</v>
      </c>
      <c r="F145" s="17"/>
      <c r="G145" s="17" t="s">
        <v>8</v>
      </c>
      <c r="H145" s="17"/>
      <c r="I145" s="18"/>
      <c r="J145" s="17"/>
    </row>
    <row r="146" spans="1:10" ht="26.4" hidden="1" x14ac:dyDescent="0.3">
      <c r="A146" s="16" t="s">
        <v>21</v>
      </c>
      <c r="B146" s="16" t="s">
        <v>608</v>
      </c>
      <c r="C146" s="16" t="s">
        <v>609</v>
      </c>
      <c r="D146" s="16" t="s">
        <v>966</v>
      </c>
      <c r="E146" s="16" t="s">
        <v>967</v>
      </c>
      <c r="F146" s="17"/>
      <c r="G146" s="17" t="s">
        <v>8</v>
      </c>
      <c r="H146" s="17"/>
      <c r="I146" s="18"/>
      <c r="J146" s="17"/>
    </row>
    <row r="147" spans="1:10" ht="26.4" hidden="1" x14ac:dyDescent="0.3">
      <c r="A147" s="16" t="s">
        <v>21</v>
      </c>
      <c r="B147" s="16" t="s">
        <v>611</v>
      </c>
      <c r="C147" s="16" t="s">
        <v>612</v>
      </c>
      <c r="D147" s="16" t="s">
        <v>968</v>
      </c>
      <c r="E147" s="16" t="s">
        <v>969</v>
      </c>
      <c r="F147" s="17"/>
      <c r="G147" s="17" t="s">
        <v>8</v>
      </c>
      <c r="H147" s="17"/>
      <c r="I147" s="18"/>
      <c r="J147" s="17"/>
    </row>
    <row r="148" spans="1:10" ht="26.4" hidden="1" x14ac:dyDescent="0.3">
      <c r="A148" s="16" t="s">
        <v>21</v>
      </c>
      <c r="B148" s="16" t="s">
        <v>611</v>
      </c>
      <c r="C148" s="16" t="s">
        <v>614</v>
      </c>
      <c r="D148" s="16" t="s">
        <v>970</v>
      </c>
      <c r="E148" s="16" t="s">
        <v>971</v>
      </c>
      <c r="F148" s="17"/>
      <c r="G148" s="17" t="s">
        <v>8</v>
      </c>
      <c r="H148" s="17"/>
      <c r="I148" s="18"/>
      <c r="J148" s="17"/>
    </row>
    <row r="149" spans="1:10" ht="39.6" hidden="1" x14ac:dyDescent="0.3">
      <c r="A149" s="16" t="s">
        <v>21</v>
      </c>
      <c r="B149" s="16" t="s">
        <v>611</v>
      </c>
      <c r="C149" s="16" t="s">
        <v>616</v>
      </c>
      <c r="D149" s="16" t="s">
        <v>972</v>
      </c>
      <c r="E149" s="16" t="s">
        <v>973</v>
      </c>
      <c r="F149" s="17"/>
      <c r="G149" s="17" t="s">
        <v>8</v>
      </c>
      <c r="H149" s="17"/>
      <c r="I149" s="18"/>
      <c r="J149" s="17"/>
    </row>
    <row r="150" spans="1:10" ht="39.6" hidden="1" x14ac:dyDescent="0.3">
      <c r="A150" s="16" t="s">
        <v>21</v>
      </c>
      <c r="B150" s="16" t="s">
        <v>611</v>
      </c>
      <c r="C150" s="16" t="s">
        <v>618</v>
      </c>
      <c r="D150" s="16" t="s">
        <v>974</v>
      </c>
      <c r="E150" s="16" t="s">
        <v>975</v>
      </c>
      <c r="F150" s="17"/>
      <c r="G150" s="17" t="s">
        <v>8</v>
      </c>
      <c r="H150" s="17"/>
      <c r="I150" s="18"/>
      <c r="J150" s="17"/>
    </row>
    <row r="151" spans="1:10" ht="39.6" hidden="1" x14ac:dyDescent="0.3">
      <c r="A151" s="16" t="s">
        <v>21</v>
      </c>
      <c r="B151" s="16" t="s">
        <v>611</v>
      </c>
      <c r="C151" s="16" t="s">
        <v>620</v>
      </c>
      <c r="D151" s="16" t="s">
        <v>976</v>
      </c>
      <c r="E151" s="16" t="s">
        <v>977</v>
      </c>
      <c r="F151" s="17"/>
      <c r="G151" s="17" t="s">
        <v>8</v>
      </c>
      <c r="H151" s="17"/>
      <c r="I151" s="18"/>
      <c r="J151" s="17"/>
    </row>
    <row r="152" spans="1:10" ht="26.4" hidden="1" x14ac:dyDescent="0.3">
      <c r="A152" s="16" t="s">
        <v>21</v>
      </c>
      <c r="B152" s="16" t="s">
        <v>611</v>
      </c>
      <c r="C152" s="16" t="s">
        <v>622</v>
      </c>
      <c r="D152" s="16" t="s">
        <v>978</v>
      </c>
      <c r="E152" s="16" t="s">
        <v>979</v>
      </c>
      <c r="F152" s="17"/>
      <c r="G152" s="17" t="s">
        <v>8</v>
      </c>
      <c r="H152" s="17"/>
      <c r="I152" s="18"/>
      <c r="J152" s="17"/>
    </row>
    <row r="153" spans="1:10" ht="26.4" hidden="1" x14ac:dyDescent="0.3">
      <c r="A153" s="16" t="s">
        <v>21</v>
      </c>
      <c r="B153" s="16" t="s">
        <v>624</v>
      </c>
      <c r="C153" s="16" t="s">
        <v>625</v>
      </c>
      <c r="D153" s="16" t="s">
        <v>927</v>
      </c>
      <c r="E153" s="16" t="s">
        <v>980</v>
      </c>
      <c r="F153" s="17"/>
      <c r="G153" s="17" t="s">
        <v>8</v>
      </c>
      <c r="H153" s="17"/>
      <c r="I153" s="18"/>
      <c r="J153" s="17"/>
    </row>
    <row r="154" spans="1:10" ht="26.4" hidden="1" x14ac:dyDescent="0.3">
      <c r="A154" s="16" t="s">
        <v>22</v>
      </c>
      <c r="B154" s="16" t="s">
        <v>627</v>
      </c>
      <c r="C154" s="16" t="s">
        <v>628</v>
      </c>
      <c r="D154" s="16" t="s">
        <v>981</v>
      </c>
      <c r="E154" s="16" t="s">
        <v>982</v>
      </c>
      <c r="F154" s="17"/>
      <c r="G154" s="17" t="s">
        <v>8</v>
      </c>
      <c r="H154" s="17"/>
      <c r="I154" s="18"/>
      <c r="J154" s="17"/>
    </row>
    <row r="155" spans="1:10" ht="26.4" hidden="1" x14ac:dyDescent="0.3">
      <c r="A155" s="16" t="s">
        <v>22</v>
      </c>
      <c r="B155" s="16" t="s">
        <v>20</v>
      </c>
      <c r="C155" s="16" t="s">
        <v>630</v>
      </c>
      <c r="D155" s="16" t="s">
        <v>948</v>
      </c>
      <c r="E155" s="16" t="s">
        <v>983</v>
      </c>
      <c r="F155" s="17"/>
      <c r="G155" s="17" t="s">
        <v>8</v>
      </c>
      <c r="H155" s="17"/>
      <c r="I155" s="18"/>
      <c r="J155" s="17"/>
    </row>
  </sheetData>
  <autoFilter ref="A1:J155" xr:uid="{00000000-0009-0000-0000-000002000000}">
    <filterColumn colId="0">
      <filters>
        <filter val="Kế toán mua hàng"/>
      </filters>
    </filterColumn>
  </autoFilter>
  <dataValidations count="1">
    <dataValidation type="list" allowBlank="1" sqref="G2:G155" xr:uid="{00000000-0002-0000-0200-000000000000}">
      <formula1>"Chưa test,Đạt,Lỗi,Bỏ qua"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2"/>
  <sheetViews>
    <sheetView workbookViewId="0">
      <pane xSplit="3" ySplit="1" topLeftCell="D2" activePane="bottomRight" state="frozen"/>
      <selection pane="topRight"/>
      <selection pane="bottomLeft"/>
      <selection pane="bottomRight"/>
    </sheetView>
  </sheetViews>
  <sheetFormatPr defaultRowHeight="14.4" x14ac:dyDescent="0.3"/>
  <cols>
    <col min="1" max="1" width="11" customWidth="1"/>
    <col min="2" max="2" width="16" customWidth="1"/>
    <col min="3" max="4" width="24" customWidth="1"/>
    <col min="5" max="5" width="11" customWidth="1"/>
    <col min="6" max="6" width="34" customWidth="1"/>
    <col min="7" max="7" width="26" customWidth="1"/>
    <col min="8" max="8" width="48" customWidth="1"/>
    <col min="9" max="9" width="52" customWidth="1"/>
    <col min="10" max="10" width="10" customWidth="1"/>
    <col min="11" max="11" width="30" customWidth="1"/>
    <col min="12" max="12" width="12" customWidth="1"/>
    <col min="13" max="13" width="13" customWidth="1"/>
    <col min="14" max="14" width="11" customWidth="1"/>
    <col min="15" max="15" width="26" customWidth="1"/>
  </cols>
  <sheetData>
    <row r="1" spans="1:15" ht="30" customHeight="1" x14ac:dyDescent="0.3">
      <c r="A1" s="15" t="s">
        <v>45</v>
      </c>
      <c r="B1" s="15" t="s">
        <v>3</v>
      </c>
      <c r="C1" s="15" t="s">
        <v>43</v>
      </c>
      <c r="D1" s="15" t="s">
        <v>984</v>
      </c>
      <c r="E1" s="15" t="s">
        <v>692</v>
      </c>
      <c r="F1" s="15" t="s">
        <v>693</v>
      </c>
      <c r="G1" s="15" t="s">
        <v>694</v>
      </c>
      <c r="H1" s="15" t="s">
        <v>695</v>
      </c>
      <c r="I1" s="15" t="s">
        <v>696</v>
      </c>
      <c r="J1" s="15" t="s">
        <v>47</v>
      </c>
      <c r="K1" s="15" t="s">
        <v>697</v>
      </c>
      <c r="L1" s="15" t="s">
        <v>46</v>
      </c>
      <c r="M1" s="15" t="s">
        <v>698</v>
      </c>
      <c r="N1" s="15" t="s">
        <v>699</v>
      </c>
      <c r="O1" s="15" t="s">
        <v>700</v>
      </c>
    </row>
    <row r="2" spans="1:15" ht="52.8" x14ac:dyDescent="0.3">
      <c r="A2" s="16" t="s">
        <v>85</v>
      </c>
      <c r="B2" s="16" t="s">
        <v>10</v>
      </c>
      <c r="C2" s="16" t="s">
        <v>83</v>
      </c>
      <c r="D2" s="16" t="s">
        <v>985</v>
      </c>
      <c r="E2" s="16" t="s">
        <v>701</v>
      </c>
      <c r="F2" s="16" t="s">
        <v>84</v>
      </c>
      <c r="G2" s="16" t="s">
        <v>986</v>
      </c>
      <c r="H2" s="16" t="s">
        <v>987</v>
      </c>
      <c r="I2" s="16" t="s">
        <v>988</v>
      </c>
      <c r="J2" s="16" t="s">
        <v>51</v>
      </c>
      <c r="K2" s="17"/>
      <c r="L2" s="17" t="s">
        <v>8</v>
      </c>
      <c r="M2" s="17"/>
      <c r="N2" s="18"/>
      <c r="O2" s="17"/>
    </row>
    <row r="3" spans="1:15" ht="52.8" x14ac:dyDescent="0.3">
      <c r="A3" s="16" t="s">
        <v>87</v>
      </c>
      <c r="B3" s="16" t="s">
        <v>10</v>
      </c>
      <c r="C3" s="16" t="s">
        <v>83</v>
      </c>
      <c r="D3" s="16" t="s">
        <v>985</v>
      </c>
      <c r="E3" s="16" t="s">
        <v>701</v>
      </c>
      <c r="F3" s="16" t="s">
        <v>86</v>
      </c>
      <c r="G3" s="16" t="s">
        <v>986</v>
      </c>
      <c r="H3" s="16" t="s">
        <v>989</v>
      </c>
      <c r="I3" s="16" t="s">
        <v>990</v>
      </c>
      <c r="J3" s="16" t="s">
        <v>54</v>
      </c>
      <c r="K3" s="17"/>
      <c r="L3" s="17" t="s">
        <v>8</v>
      </c>
      <c r="M3" s="17"/>
      <c r="N3" s="18"/>
      <c r="O3" s="17"/>
    </row>
    <row r="4" spans="1:15" ht="52.8" x14ac:dyDescent="0.3">
      <c r="A4" s="16" t="s">
        <v>89</v>
      </c>
      <c r="B4" s="16" t="s">
        <v>10</v>
      </c>
      <c r="C4" s="16" t="s">
        <v>83</v>
      </c>
      <c r="D4" s="16" t="s">
        <v>991</v>
      </c>
      <c r="E4" s="16" t="s">
        <v>701</v>
      </c>
      <c r="F4" s="16" t="s">
        <v>88</v>
      </c>
      <c r="G4" s="16" t="s">
        <v>986</v>
      </c>
      <c r="H4" s="16" t="s">
        <v>992</v>
      </c>
      <c r="I4" s="16" t="s">
        <v>993</v>
      </c>
      <c r="J4" s="16" t="s">
        <v>51</v>
      </c>
      <c r="K4" s="17"/>
      <c r="L4" s="17" t="s">
        <v>8</v>
      </c>
      <c r="M4" s="17"/>
      <c r="N4" s="18"/>
      <c r="O4" s="17"/>
    </row>
    <row r="5" spans="1:15" ht="52.8" x14ac:dyDescent="0.3">
      <c r="A5" s="16" t="s">
        <v>91</v>
      </c>
      <c r="B5" s="16" t="s">
        <v>10</v>
      </c>
      <c r="C5" s="16" t="s">
        <v>64</v>
      </c>
      <c r="D5" s="16" t="s">
        <v>994</v>
      </c>
      <c r="E5" s="16" t="s">
        <v>708</v>
      </c>
      <c r="F5" s="16" t="s">
        <v>90</v>
      </c>
      <c r="G5" s="16" t="s">
        <v>986</v>
      </c>
      <c r="H5" s="16" t="s">
        <v>995</v>
      </c>
      <c r="I5" s="16" t="s">
        <v>996</v>
      </c>
      <c r="J5" s="16" t="s">
        <v>51</v>
      </c>
      <c r="K5" s="17"/>
      <c r="L5" s="17" t="s">
        <v>8</v>
      </c>
      <c r="M5" s="17"/>
      <c r="N5" s="18"/>
      <c r="O5" s="17"/>
    </row>
    <row r="6" spans="1:15" ht="66" x14ac:dyDescent="0.3">
      <c r="A6" s="16" t="s">
        <v>93</v>
      </c>
      <c r="B6" s="16" t="s">
        <v>10</v>
      </c>
      <c r="C6" s="16" t="s">
        <v>64</v>
      </c>
      <c r="D6" s="16" t="s">
        <v>994</v>
      </c>
      <c r="E6" s="16" t="s">
        <v>713</v>
      </c>
      <c r="F6" s="16" t="s">
        <v>92</v>
      </c>
      <c r="G6" s="16" t="s">
        <v>986</v>
      </c>
      <c r="H6" s="16" t="s">
        <v>997</v>
      </c>
      <c r="I6" s="16" t="s">
        <v>998</v>
      </c>
      <c r="J6" s="16" t="s">
        <v>51</v>
      </c>
      <c r="K6" s="17"/>
      <c r="L6" s="17" t="s">
        <v>8</v>
      </c>
      <c r="M6" s="17"/>
      <c r="N6" s="18"/>
      <c r="O6" s="17"/>
    </row>
    <row r="7" spans="1:15" ht="52.8" x14ac:dyDescent="0.3">
      <c r="A7" s="16" t="s">
        <v>95</v>
      </c>
      <c r="B7" s="16" t="s">
        <v>10</v>
      </c>
      <c r="C7" s="16" t="s">
        <v>64</v>
      </c>
      <c r="D7" s="16" t="s">
        <v>999</v>
      </c>
      <c r="E7" s="16" t="s">
        <v>701</v>
      </c>
      <c r="F7" s="16" t="s">
        <v>94</v>
      </c>
      <c r="G7" s="16" t="s">
        <v>986</v>
      </c>
      <c r="H7" s="16" t="s">
        <v>1000</v>
      </c>
      <c r="I7" s="16" t="s">
        <v>1001</v>
      </c>
      <c r="J7" s="16" t="s">
        <v>54</v>
      </c>
      <c r="K7" s="17"/>
      <c r="L7" s="17" t="s">
        <v>8</v>
      </c>
      <c r="M7" s="17"/>
      <c r="N7" s="18"/>
      <c r="O7" s="17"/>
    </row>
    <row r="8" spans="1:15" ht="52.8" x14ac:dyDescent="0.3">
      <c r="A8" s="16" t="s">
        <v>98</v>
      </c>
      <c r="B8" s="16" t="s">
        <v>10</v>
      </c>
      <c r="C8" s="16" t="s">
        <v>96</v>
      </c>
      <c r="D8" s="16" t="s">
        <v>1002</v>
      </c>
      <c r="E8" s="16" t="s">
        <v>701</v>
      </c>
      <c r="F8" s="16" t="s">
        <v>97</v>
      </c>
      <c r="G8" s="16" t="s">
        <v>986</v>
      </c>
      <c r="H8" s="16" t="s">
        <v>1003</v>
      </c>
      <c r="I8" s="16" t="s">
        <v>1004</v>
      </c>
      <c r="J8" s="16" t="s">
        <v>99</v>
      </c>
      <c r="K8" s="17"/>
      <c r="L8" s="17" t="s">
        <v>8</v>
      </c>
      <c r="M8" s="17"/>
      <c r="N8" s="18"/>
      <c r="O8" s="17"/>
    </row>
    <row r="9" spans="1:15" ht="52.8" x14ac:dyDescent="0.3">
      <c r="A9" s="16" t="s">
        <v>102</v>
      </c>
      <c r="B9" s="16" t="s">
        <v>10</v>
      </c>
      <c r="C9" s="16" t="s">
        <v>100</v>
      </c>
      <c r="D9" s="16" t="s">
        <v>1005</v>
      </c>
      <c r="E9" s="16" t="s">
        <v>701</v>
      </c>
      <c r="F9" s="16" t="s">
        <v>101</v>
      </c>
      <c r="G9" s="16" t="s">
        <v>986</v>
      </c>
      <c r="H9" s="16" t="s">
        <v>1006</v>
      </c>
      <c r="I9" s="16" t="s">
        <v>1007</v>
      </c>
      <c r="J9" s="16" t="s">
        <v>99</v>
      </c>
      <c r="K9" s="17"/>
      <c r="L9" s="17" t="s">
        <v>8</v>
      </c>
      <c r="M9" s="17"/>
      <c r="N9" s="18"/>
      <c r="O9" s="17"/>
    </row>
    <row r="10" spans="1:15" ht="52.8" x14ac:dyDescent="0.3">
      <c r="A10" s="16" t="s">
        <v>105</v>
      </c>
      <c r="B10" s="16" t="s">
        <v>10</v>
      </c>
      <c r="C10" s="16" t="s">
        <v>103</v>
      </c>
      <c r="D10" s="16" t="s">
        <v>1008</v>
      </c>
      <c r="E10" s="16" t="s">
        <v>701</v>
      </c>
      <c r="F10" s="16" t="s">
        <v>104</v>
      </c>
      <c r="G10" s="16" t="s">
        <v>986</v>
      </c>
      <c r="H10" s="16" t="s">
        <v>1009</v>
      </c>
      <c r="I10" s="16" t="s">
        <v>1010</v>
      </c>
      <c r="J10" s="16" t="s">
        <v>51</v>
      </c>
      <c r="K10" s="17"/>
      <c r="L10" s="17" t="s">
        <v>8</v>
      </c>
      <c r="M10" s="17"/>
      <c r="N10" s="18"/>
      <c r="O10" s="17"/>
    </row>
    <row r="11" spans="1:15" ht="39.6" x14ac:dyDescent="0.3">
      <c r="A11" s="16" t="s">
        <v>139</v>
      </c>
      <c r="B11" s="16" t="s">
        <v>11</v>
      </c>
      <c r="C11" s="16" t="s">
        <v>106</v>
      </c>
      <c r="D11" s="16" t="s">
        <v>1011</v>
      </c>
      <c r="E11" s="16" t="s">
        <v>713</v>
      </c>
      <c r="F11" s="16" t="s">
        <v>138</v>
      </c>
      <c r="G11" s="16" t="s">
        <v>1012</v>
      </c>
      <c r="H11" s="16" t="s">
        <v>1013</v>
      </c>
      <c r="I11" s="16" t="s">
        <v>1014</v>
      </c>
      <c r="J11" s="16" t="s">
        <v>51</v>
      </c>
      <c r="K11" s="17"/>
      <c r="L11" s="17" t="s">
        <v>8</v>
      </c>
      <c r="M11" s="17"/>
      <c r="N11" s="18"/>
      <c r="O11" s="17"/>
    </row>
    <row r="12" spans="1:15" ht="39.6" x14ac:dyDescent="0.3">
      <c r="A12" s="16" t="s">
        <v>142</v>
      </c>
      <c r="B12" s="16" t="s">
        <v>11</v>
      </c>
      <c r="C12" s="16" t="s">
        <v>140</v>
      </c>
      <c r="D12" s="16" t="s">
        <v>1015</v>
      </c>
      <c r="E12" s="16" t="s">
        <v>701</v>
      </c>
      <c r="F12" s="16" t="s">
        <v>141</v>
      </c>
      <c r="G12" s="16" t="s">
        <v>1016</v>
      </c>
      <c r="H12" s="16" t="s">
        <v>1017</v>
      </c>
      <c r="I12" s="16" t="s">
        <v>1018</v>
      </c>
      <c r="J12" s="16" t="s">
        <v>51</v>
      </c>
      <c r="K12" s="17"/>
      <c r="L12" s="17" t="s">
        <v>8</v>
      </c>
      <c r="M12" s="17"/>
      <c r="N12" s="18"/>
      <c r="O12" s="17"/>
    </row>
    <row r="13" spans="1:15" ht="26.4" x14ac:dyDescent="0.3">
      <c r="A13" s="16" t="s">
        <v>145</v>
      </c>
      <c r="B13" s="16" t="s">
        <v>11</v>
      </c>
      <c r="C13" s="16" t="s">
        <v>143</v>
      </c>
      <c r="D13" s="16" t="s">
        <v>1019</v>
      </c>
      <c r="E13" s="16" t="s">
        <v>701</v>
      </c>
      <c r="F13" s="16" t="s">
        <v>144</v>
      </c>
      <c r="G13" s="16" t="s">
        <v>1020</v>
      </c>
      <c r="H13" s="16" t="s">
        <v>1021</v>
      </c>
      <c r="I13" s="16" t="s">
        <v>1022</v>
      </c>
      <c r="J13" s="16" t="s">
        <v>54</v>
      </c>
      <c r="K13" s="17"/>
      <c r="L13" s="17" t="s">
        <v>8</v>
      </c>
      <c r="M13" s="17"/>
      <c r="N13" s="18"/>
      <c r="O13" s="17"/>
    </row>
    <row r="14" spans="1:15" ht="52.8" x14ac:dyDescent="0.3">
      <c r="A14" s="16" t="s">
        <v>199</v>
      </c>
      <c r="B14" s="16" t="s">
        <v>12</v>
      </c>
      <c r="C14" s="16" t="s">
        <v>12</v>
      </c>
      <c r="D14" s="16" t="s">
        <v>1023</v>
      </c>
      <c r="E14" s="16" t="s">
        <v>701</v>
      </c>
      <c r="F14" s="16" t="s">
        <v>198</v>
      </c>
      <c r="G14" s="16" t="s">
        <v>986</v>
      </c>
      <c r="H14" s="16" t="s">
        <v>1024</v>
      </c>
      <c r="I14" s="16" t="s">
        <v>1025</v>
      </c>
      <c r="J14" s="16" t="s">
        <v>51</v>
      </c>
      <c r="K14" s="17"/>
      <c r="L14" s="17" t="s">
        <v>8</v>
      </c>
      <c r="M14" s="17"/>
      <c r="N14" s="18"/>
      <c r="O14" s="17"/>
    </row>
    <row r="15" spans="1:15" ht="52.8" x14ac:dyDescent="0.3">
      <c r="A15" s="16" t="s">
        <v>201</v>
      </c>
      <c r="B15" s="16" t="s">
        <v>12</v>
      </c>
      <c r="C15" s="16" t="s">
        <v>12</v>
      </c>
      <c r="D15" s="16" t="s">
        <v>1023</v>
      </c>
      <c r="E15" s="16" t="s">
        <v>708</v>
      </c>
      <c r="F15" s="16" t="s">
        <v>200</v>
      </c>
      <c r="G15" s="16" t="s">
        <v>986</v>
      </c>
      <c r="H15" s="16" t="s">
        <v>1026</v>
      </c>
      <c r="I15" s="16" t="s">
        <v>1027</v>
      </c>
      <c r="J15" s="16" t="s">
        <v>51</v>
      </c>
      <c r="K15" s="17"/>
      <c r="L15" s="17" t="s">
        <v>8</v>
      </c>
      <c r="M15" s="17"/>
      <c r="N15" s="18"/>
      <c r="O15" s="17"/>
    </row>
    <row r="16" spans="1:15" ht="52.8" x14ac:dyDescent="0.3">
      <c r="A16" s="16" t="s">
        <v>203</v>
      </c>
      <c r="B16" s="16" t="s">
        <v>12</v>
      </c>
      <c r="C16" s="16" t="s">
        <v>80</v>
      </c>
      <c r="D16" s="16" t="s">
        <v>12</v>
      </c>
      <c r="E16" s="16" t="s">
        <v>708</v>
      </c>
      <c r="F16" s="16" t="s">
        <v>202</v>
      </c>
      <c r="G16" s="16" t="s">
        <v>986</v>
      </c>
      <c r="H16" s="16" t="s">
        <v>1028</v>
      </c>
      <c r="I16" s="16" t="s">
        <v>1029</v>
      </c>
      <c r="J16" s="16" t="s">
        <v>51</v>
      </c>
      <c r="K16" s="17"/>
      <c r="L16" s="17" t="s">
        <v>8</v>
      </c>
      <c r="M16" s="17"/>
      <c r="N16" s="18"/>
      <c r="O16" s="17"/>
    </row>
    <row r="17" spans="1:15" ht="66" x14ac:dyDescent="0.3">
      <c r="A17" s="16" t="s">
        <v>205</v>
      </c>
      <c r="B17" s="16" t="s">
        <v>12</v>
      </c>
      <c r="C17" s="16" t="s">
        <v>80</v>
      </c>
      <c r="D17" s="16" t="s">
        <v>1030</v>
      </c>
      <c r="E17" s="16" t="s">
        <v>708</v>
      </c>
      <c r="F17" s="16" t="s">
        <v>204</v>
      </c>
      <c r="G17" s="16" t="s">
        <v>986</v>
      </c>
      <c r="H17" s="16" t="s">
        <v>1031</v>
      </c>
      <c r="I17" s="16" t="s">
        <v>1032</v>
      </c>
      <c r="J17" s="16" t="s">
        <v>54</v>
      </c>
      <c r="K17" s="17"/>
      <c r="L17" s="17" t="s">
        <v>8</v>
      </c>
      <c r="M17" s="17"/>
      <c r="N17" s="18"/>
      <c r="O17" s="17"/>
    </row>
    <row r="18" spans="1:15" ht="52.8" x14ac:dyDescent="0.3">
      <c r="A18" s="16" t="s">
        <v>207</v>
      </c>
      <c r="B18" s="16" t="s">
        <v>12</v>
      </c>
      <c r="C18" s="16" t="s">
        <v>151</v>
      </c>
      <c r="D18" s="16" t="s">
        <v>12</v>
      </c>
      <c r="E18" s="16" t="s">
        <v>708</v>
      </c>
      <c r="F18" s="16" t="s">
        <v>206</v>
      </c>
      <c r="G18" s="16" t="s">
        <v>986</v>
      </c>
      <c r="H18" s="16" t="s">
        <v>1033</v>
      </c>
      <c r="I18" s="16" t="s">
        <v>1034</v>
      </c>
      <c r="J18" s="16" t="s">
        <v>54</v>
      </c>
      <c r="K18" s="17"/>
      <c r="L18" s="17" t="s">
        <v>8</v>
      </c>
      <c r="M18" s="17"/>
      <c r="N18" s="18"/>
      <c r="O18" s="17"/>
    </row>
    <row r="19" spans="1:15" ht="52.8" x14ac:dyDescent="0.3">
      <c r="A19" s="16" t="s">
        <v>210</v>
      </c>
      <c r="B19" s="16" t="s">
        <v>12</v>
      </c>
      <c r="C19" s="16" t="s">
        <v>208</v>
      </c>
      <c r="D19" s="16" t="s">
        <v>12</v>
      </c>
      <c r="E19" s="16" t="s">
        <v>752</v>
      </c>
      <c r="F19" s="16" t="s">
        <v>209</v>
      </c>
      <c r="G19" s="16" t="s">
        <v>986</v>
      </c>
      <c r="H19" s="16" t="s">
        <v>1035</v>
      </c>
      <c r="I19" s="16" t="s">
        <v>1036</v>
      </c>
      <c r="J19" s="16" t="s">
        <v>51</v>
      </c>
      <c r="K19" s="17"/>
      <c r="L19" s="17" t="s">
        <v>8</v>
      </c>
      <c r="M19" s="17"/>
      <c r="N19" s="18"/>
      <c r="O19" s="17"/>
    </row>
    <row r="20" spans="1:15" ht="66" x14ac:dyDescent="0.3">
      <c r="A20" s="16" t="s">
        <v>212</v>
      </c>
      <c r="B20" s="16" t="s">
        <v>12</v>
      </c>
      <c r="C20" s="16" t="s">
        <v>208</v>
      </c>
      <c r="D20" s="16" t="s">
        <v>12</v>
      </c>
      <c r="E20" s="16" t="s">
        <v>708</v>
      </c>
      <c r="F20" s="16" t="s">
        <v>211</v>
      </c>
      <c r="G20" s="16" t="s">
        <v>986</v>
      </c>
      <c r="H20" s="16" t="s">
        <v>1037</v>
      </c>
      <c r="I20" s="16" t="s">
        <v>1038</v>
      </c>
      <c r="J20" s="16" t="s">
        <v>51</v>
      </c>
      <c r="K20" s="17"/>
      <c r="L20" s="17" t="s">
        <v>8</v>
      </c>
      <c r="M20" s="17"/>
      <c r="N20" s="18"/>
      <c r="O20" s="17"/>
    </row>
    <row r="21" spans="1:15" ht="52.8" x14ac:dyDescent="0.3">
      <c r="A21" s="16" t="s">
        <v>215</v>
      </c>
      <c r="B21" s="16" t="s">
        <v>12</v>
      </c>
      <c r="C21" s="16" t="s">
        <v>213</v>
      </c>
      <c r="D21" s="16" t="s">
        <v>12</v>
      </c>
      <c r="E21" s="16" t="s">
        <v>752</v>
      </c>
      <c r="F21" s="16" t="s">
        <v>214</v>
      </c>
      <c r="G21" s="16" t="s">
        <v>986</v>
      </c>
      <c r="H21" s="16" t="s">
        <v>1039</v>
      </c>
      <c r="I21" s="16" t="s">
        <v>1040</v>
      </c>
      <c r="J21" s="16" t="s">
        <v>51</v>
      </c>
      <c r="K21" s="17"/>
      <c r="L21" s="17" t="s">
        <v>8</v>
      </c>
      <c r="M21" s="17"/>
      <c r="N21" s="18"/>
      <c r="O21" s="17"/>
    </row>
    <row r="22" spans="1:15" ht="52.8" x14ac:dyDescent="0.3">
      <c r="A22" s="16" t="s">
        <v>217</v>
      </c>
      <c r="B22" s="16" t="s">
        <v>12</v>
      </c>
      <c r="C22" s="16" t="s">
        <v>213</v>
      </c>
      <c r="D22" s="16" t="s">
        <v>12</v>
      </c>
      <c r="E22" s="16" t="s">
        <v>708</v>
      </c>
      <c r="F22" s="16" t="s">
        <v>216</v>
      </c>
      <c r="G22" s="16" t="s">
        <v>986</v>
      </c>
      <c r="H22" s="16" t="s">
        <v>1041</v>
      </c>
      <c r="I22" s="16" t="s">
        <v>1042</v>
      </c>
      <c r="J22" s="16" t="s">
        <v>54</v>
      </c>
      <c r="K22" s="17"/>
      <c r="L22" s="17" t="s">
        <v>8</v>
      </c>
      <c r="M22" s="17"/>
      <c r="N22" s="18"/>
      <c r="O22" s="17"/>
    </row>
    <row r="23" spans="1:15" ht="52.8" x14ac:dyDescent="0.3">
      <c r="A23" s="16" t="s">
        <v>220</v>
      </c>
      <c r="B23" s="16" t="s">
        <v>12</v>
      </c>
      <c r="C23" s="16" t="s">
        <v>218</v>
      </c>
      <c r="D23" s="16" t="s">
        <v>12</v>
      </c>
      <c r="E23" s="16" t="s">
        <v>752</v>
      </c>
      <c r="F23" s="16" t="s">
        <v>219</v>
      </c>
      <c r="G23" s="16" t="s">
        <v>986</v>
      </c>
      <c r="H23" s="16" t="s">
        <v>1043</v>
      </c>
      <c r="I23" s="16" t="s">
        <v>1044</v>
      </c>
      <c r="J23" s="16" t="s">
        <v>51</v>
      </c>
      <c r="K23" s="17"/>
      <c r="L23" s="17" t="s">
        <v>8</v>
      </c>
      <c r="M23" s="17"/>
      <c r="N23" s="18"/>
      <c r="O23" s="17"/>
    </row>
    <row r="24" spans="1:15" ht="52.8" x14ac:dyDescent="0.3">
      <c r="A24" s="16" t="s">
        <v>222</v>
      </c>
      <c r="B24" s="16" t="s">
        <v>12</v>
      </c>
      <c r="C24" s="16" t="s">
        <v>218</v>
      </c>
      <c r="D24" s="16" t="s">
        <v>12</v>
      </c>
      <c r="E24" s="16" t="s">
        <v>708</v>
      </c>
      <c r="F24" s="16" t="s">
        <v>221</v>
      </c>
      <c r="G24" s="16" t="s">
        <v>986</v>
      </c>
      <c r="H24" s="16" t="s">
        <v>1045</v>
      </c>
      <c r="I24" s="16" t="s">
        <v>1046</v>
      </c>
      <c r="J24" s="16" t="s">
        <v>54</v>
      </c>
      <c r="K24" s="17"/>
      <c r="L24" s="17" t="s">
        <v>8</v>
      </c>
      <c r="M24" s="17"/>
      <c r="N24" s="18"/>
      <c r="O24" s="17"/>
    </row>
    <row r="25" spans="1:15" ht="52.8" x14ac:dyDescent="0.3">
      <c r="A25" s="16" t="s">
        <v>225</v>
      </c>
      <c r="B25" s="16" t="s">
        <v>12</v>
      </c>
      <c r="C25" s="16" t="s">
        <v>223</v>
      </c>
      <c r="D25" s="16" t="s">
        <v>12</v>
      </c>
      <c r="E25" s="16" t="s">
        <v>752</v>
      </c>
      <c r="F25" s="16" t="s">
        <v>224</v>
      </c>
      <c r="G25" s="16" t="s">
        <v>986</v>
      </c>
      <c r="H25" s="16" t="s">
        <v>1047</v>
      </c>
      <c r="I25" s="16" t="s">
        <v>1048</v>
      </c>
      <c r="J25" s="16" t="s">
        <v>54</v>
      </c>
      <c r="K25" s="17"/>
      <c r="L25" s="17" t="s">
        <v>8</v>
      </c>
      <c r="M25" s="17"/>
      <c r="N25" s="18"/>
      <c r="O25" s="17"/>
    </row>
    <row r="26" spans="1:15" ht="52.8" x14ac:dyDescent="0.3">
      <c r="A26" s="16" t="s">
        <v>227</v>
      </c>
      <c r="B26" s="16" t="s">
        <v>12</v>
      </c>
      <c r="C26" s="16" t="s">
        <v>177</v>
      </c>
      <c r="D26" s="16" t="s">
        <v>1049</v>
      </c>
      <c r="E26" s="16" t="s">
        <v>708</v>
      </c>
      <c r="F26" s="16" t="s">
        <v>226</v>
      </c>
      <c r="G26" s="16" t="s">
        <v>986</v>
      </c>
      <c r="H26" s="16" t="s">
        <v>1050</v>
      </c>
      <c r="I26" s="16" t="s">
        <v>1051</v>
      </c>
      <c r="J26" s="16" t="s">
        <v>51</v>
      </c>
      <c r="K26" s="17"/>
      <c r="L26" s="17" t="s">
        <v>8</v>
      </c>
      <c r="M26" s="17"/>
      <c r="N26" s="18"/>
      <c r="O26" s="17"/>
    </row>
    <row r="27" spans="1:15" ht="52.8" x14ac:dyDescent="0.3">
      <c r="A27" s="16" t="s">
        <v>229</v>
      </c>
      <c r="B27" s="16" t="s">
        <v>12</v>
      </c>
      <c r="C27" s="16" t="s">
        <v>177</v>
      </c>
      <c r="D27" s="16" t="s">
        <v>1049</v>
      </c>
      <c r="E27" s="16" t="s">
        <v>708</v>
      </c>
      <c r="F27" s="16" t="s">
        <v>228</v>
      </c>
      <c r="G27" s="16" t="s">
        <v>986</v>
      </c>
      <c r="H27" s="16" t="s">
        <v>1052</v>
      </c>
      <c r="I27" s="16" t="s">
        <v>1053</v>
      </c>
      <c r="J27" s="16" t="s">
        <v>54</v>
      </c>
      <c r="K27" s="17"/>
      <c r="L27" s="17" t="s">
        <v>8</v>
      </c>
      <c r="M27" s="17"/>
      <c r="N27" s="18"/>
      <c r="O27" s="17"/>
    </row>
    <row r="28" spans="1:15" ht="52.8" x14ac:dyDescent="0.3">
      <c r="A28" s="16" t="s">
        <v>230</v>
      </c>
      <c r="B28" s="16" t="s">
        <v>12</v>
      </c>
      <c r="C28" s="16" t="s">
        <v>184</v>
      </c>
      <c r="D28" s="16" t="s">
        <v>1049</v>
      </c>
      <c r="E28" s="16" t="s">
        <v>701</v>
      </c>
      <c r="F28" s="16" t="s">
        <v>185</v>
      </c>
      <c r="G28" s="16" t="s">
        <v>986</v>
      </c>
      <c r="H28" s="16" t="s">
        <v>1054</v>
      </c>
      <c r="I28" s="16" t="s">
        <v>1055</v>
      </c>
      <c r="J28" s="16" t="s">
        <v>54</v>
      </c>
      <c r="K28" s="17"/>
      <c r="L28" s="17" t="s">
        <v>8</v>
      </c>
      <c r="M28" s="17"/>
      <c r="N28" s="18"/>
      <c r="O28" s="17"/>
    </row>
    <row r="29" spans="1:15" ht="52.8" x14ac:dyDescent="0.3">
      <c r="A29" s="16" t="s">
        <v>232</v>
      </c>
      <c r="B29" s="16" t="s">
        <v>12</v>
      </c>
      <c r="C29" s="16" t="s">
        <v>184</v>
      </c>
      <c r="D29" s="16" t="s">
        <v>1049</v>
      </c>
      <c r="E29" s="16" t="s">
        <v>708</v>
      </c>
      <c r="F29" s="16" t="s">
        <v>231</v>
      </c>
      <c r="G29" s="16" t="s">
        <v>986</v>
      </c>
      <c r="H29" s="16" t="s">
        <v>1056</v>
      </c>
      <c r="I29" s="16" t="s">
        <v>1057</v>
      </c>
      <c r="J29" s="16" t="s">
        <v>51</v>
      </c>
      <c r="K29" s="17"/>
      <c r="L29" s="17" t="s">
        <v>8</v>
      </c>
      <c r="M29" s="17"/>
      <c r="N29" s="18"/>
      <c r="O29" s="17"/>
    </row>
    <row r="30" spans="1:15" ht="52.8" x14ac:dyDescent="0.3">
      <c r="A30" s="16" t="s">
        <v>234</v>
      </c>
      <c r="B30" s="16" t="s">
        <v>12</v>
      </c>
      <c r="C30" s="16" t="s">
        <v>184</v>
      </c>
      <c r="D30" s="16" t="s">
        <v>1049</v>
      </c>
      <c r="E30" s="16" t="s">
        <v>713</v>
      </c>
      <c r="F30" s="16" t="s">
        <v>233</v>
      </c>
      <c r="G30" s="16" t="s">
        <v>986</v>
      </c>
      <c r="H30" s="16" t="s">
        <v>1058</v>
      </c>
      <c r="I30" s="16" t="s">
        <v>1059</v>
      </c>
      <c r="J30" s="16" t="s">
        <v>51</v>
      </c>
      <c r="K30" s="17"/>
      <c r="L30" s="17" t="s">
        <v>8</v>
      </c>
      <c r="M30" s="17"/>
      <c r="N30" s="18"/>
      <c r="O30" s="17"/>
    </row>
    <row r="31" spans="1:15" ht="52.8" x14ac:dyDescent="0.3">
      <c r="A31" s="16" t="s">
        <v>236</v>
      </c>
      <c r="B31" s="16" t="s">
        <v>12</v>
      </c>
      <c r="C31" s="16" t="s">
        <v>195</v>
      </c>
      <c r="D31" s="16" t="s">
        <v>1060</v>
      </c>
      <c r="E31" s="16" t="s">
        <v>708</v>
      </c>
      <c r="F31" s="16" t="s">
        <v>235</v>
      </c>
      <c r="G31" s="16" t="s">
        <v>986</v>
      </c>
      <c r="H31" s="16" t="s">
        <v>1061</v>
      </c>
      <c r="I31" s="16" t="s">
        <v>1062</v>
      </c>
      <c r="J31" s="16" t="s">
        <v>51</v>
      </c>
      <c r="K31" s="17"/>
      <c r="L31" s="17" t="s">
        <v>8</v>
      </c>
      <c r="M31" s="17"/>
      <c r="N31" s="18"/>
      <c r="O31" s="17"/>
    </row>
    <row r="32" spans="1:15" ht="52.8" x14ac:dyDescent="0.3">
      <c r="A32" s="16" t="s">
        <v>238</v>
      </c>
      <c r="B32" s="16" t="s">
        <v>12</v>
      </c>
      <c r="C32" s="16" t="s">
        <v>195</v>
      </c>
      <c r="D32" s="16" t="s">
        <v>1060</v>
      </c>
      <c r="E32" s="16" t="s">
        <v>708</v>
      </c>
      <c r="F32" s="16" t="s">
        <v>237</v>
      </c>
      <c r="G32" s="16" t="s">
        <v>986</v>
      </c>
      <c r="H32" s="16" t="s">
        <v>1063</v>
      </c>
      <c r="I32" s="16" t="s">
        <v>1064</v>
      </c>
      <c r="J32" s="16" t="s">
        <v>54</v>
      </c>
      <c r="K32" s="17"/>
      <c r="L32" s="17" t="s">
        <v>8</v>
      </c>
      <c r="M32" s="17"/>
      <c r="N32" s="18"/>
      <c r="O32" s="17"/>
    </row>
    <row r="33" spans="1:15" ht="52.8" x14ac:dyDescent="0.3">
      <c r="A33" s="16" t="s">
        <v>635</v>
      </c>
      <c r="B33" s="16" t="s">
        <v>25</v>
      </c>
      <c r="C33" s="16" t="s">
        <v>25</v>
      </c>
      <c r="D33" s="16" t="s">
        <v>1065</v>
      </c>
      <c r="E33" s="16" t="s">
        <v>708</v>
      </c>
      <c r="F33" s="16" t="s">
        <v>634</v>
      </c>
      <c r="G33" s="16" t="s">
        <v>986</v>
      </c>
      <c r="H33" s="16" t="s">
        <v>1066</v>
      </c>
      <c r="I33" s="16" t="s">
        <v>1067</v>
      </c>
      <c r="J33" s="16" t="s">
        <v>54</v>
      </c>
      <c r="K33" s="17"/>
      <c r="L33" s="17" t="s">
        <v>8</v>
      </c>
      <c r="M33" s="17"/>
      <c r="N33" s="18"/>
      <c r="O33" s="17"/>
    </row>
    <row r="34" spans="1:15" ht="52.8" x14ac:dyDescent="0.3">
      <c r="A34" s="16" t="s">
        <v>637</v>
      </c>
      <c r="B34" s="16" t="s">
        <v>25</v>
      </c>
      <c r="C34" s="16" t="s">
        <v>25</v>
      </c>
      <c r="D34" s="16" t="s">
        <v>1065</v>
      </c>
      <c r="E34" s="16" t="s">
        <v>713</v>
      </c>
      <c r="F34" s="16" t="s">
        <v>636</v>
      </c>
      <c r="G34" s="16" t="s">
        <v>986</v>
      </c>
      <c r="H34" s="16" t="s">
        <v>1068</v>
      </c>
      <c r="I34" s="16" t="s">
        <v>1069</v>
      </c>
      <c r="J34" s="16" t="s">
        <v>54</v>
      </c>
      <c r="K34" s="17"/>
      <c r="L34" s="17" t="s">
        <v>8</v>
      </c>
      <c r="M34" s="17"/>
      <c r="N34" s="18"/>
      <c r="O34" s="17"/>
    </row>
    <row r="35" spans="1:15" ht="52.8" x14ac:dyDescent="0.3">
      <c r="A35" s="16" t="s">
        <v>328</v>
      </c>
      <c r="B35" s="16" t="s">
        <v>14</v>
      </c>
      <c r="C35" s="16" t="s">
        <v>326</v>
      </c>
      <c r="D35" s="16" t="s">
        <v>326</v>
      </c>
      <c r="E35" s="16" t="s">
        <v>701</v>
      </c>
      <c r="F35" s="16" t="s">
        <v>327</v>
      </c>
      <c r="G35" s="16" t="s">
        <v>986</v>
      </c>
      <c r="H35" s="16" t="s">
        <v>1070</v>
      </c>
      <c r="I35" s="16" t="s">
        <v>1071</v>
      </c>
      <c r="J35" s="16" t="s">
        <v>51</v>
      </c>
      <c r="K35" s="17"/>
      <c r="L35" s="17" t="s">
        <v>8</v>
      </c>
      <c r="M35" s="17"/>
      <c r="N35" s="18"/>
      <c r="O35" s="17"/>
    </row>
    <row r="36" spans="1:15" ht="52.8" x14ac:dyDescent="0.3">
      <c r="A36" s="16" t="s">
        <v>330</v>
      </c>
      <c r="B36" s="16" t="s">
        <v>14</v>
      </c>
      <c r="C36" s="16" t="s">
        <v>326</v>
      </c>
      <c r="D36" s="16" t="s">
        <v>326</v>
      </c>
      <c r="E36" s="16" t="s">
        <v>708</v>
      </c>
      <c r="F36" s="16" t="s">
        <v>329</v>
      </c>
      <c r="G36" s="16" t="s">
        <v>986</v>
      </c>
      <c r="H36" s="16" t="s">
        <v>1072</v>
      </c>
      <c r="I36" s="16" t="s">
        <v>1073</v>
      </c>
      <c r="J36" s="16" t="s">
        <v>54</v>
      </c>
      <c r="K36" s="17"/>
      <c r="L36" s="17" t="s">
        <v>8</v>
      </c>
      <c r="M36" s="17"/>
      <c r="N36" s="18"/>
      <c r="O36" s="17"/>
    </row>
    <row r="37" spans="1:15" ht="52.8" x14ac:dyDescent="0.3">
      <c r="A37" s="16" t="s">
        <v>333</v>
      </c>
      <c r="B37" s="16" t="s">
        <v>14</v>
      </c>
      <c r="C37" s="16" t="s">
        <v>331</v>
      </c>
      <c r="D37" s="16" t="s">
        <v>1074</v>
      </c>
      <c r="E37" s="16" t="s">
        <v>701</v>
      </c>
      <c r="F37" s="16" t="s">
        <v>332</v>
      </c>
      <c r="G37" s="16" t="s">
        <v>986</v>
      </c>
      <c r="H37" s="16" t="s">
        <v>1075</v>
      </c>
      <c r="I37" s="16" t="s">
        <v>1076</v>
      </c>
      <c r="J37" s="16" t="s">
        <v>51</v>
      </c>
      <c r="K37" s="17"/>
      <c r="L37" s="17" t="s">
        <v>8</v>
      </c>
      <c r="M37" s="17"/>
      <c r="N37" s="18"/>
      <c r="O37" s="17"/>
    </row>
    <row r="38" spans="1:15" ht="52.8" x14ac:dyDescent="0.3">
      <c r="A38" s="16" t="s">
        <v>335</v>
      </c>
      <c r="B38" s="16" t="s">
        <v>14</v>
      </c>
      <c r="C38" s="16" t="s">
        <v>331</v>
      </c>
      <c r="D38" s="16" t="s">
        <v>1074</v>
      </c>
      <c r="E38" s="16" t="s">
        <v>708</v>
      </c>
      <c r="F38" s="16" t="s">
        <v>334</v>
      </c>
      <c r="G38" s="16" t="s">
        <v>986</v>
      </c>
      <c r="H38" s="16" t="s">
        <v>1077</v>
      </c>
      <c r="I38" s="16" t="s">
        <v>1078</v>
      </c>
      <c r="J38" s="16" t="s">
        <v>51</v>
      </c>
      <c r="K38" s="17"/>
      <c r="L38" s="17" t="s">
        <v>8</v>
      </c>
      <c r="M38" s="17"/>
      <c r="N38" s="18"/>
      <c r="O38" s="17"/>
    </row>
    <row r="39" spans="1:15" ht="52.8" x14ac:dyDescent="0.3">
      <c r="A39" s="16" t="s">
        <v>337</v>
      </c>
      <c r="B39" s="16" t="s">
        <v>14</v>
      </c>
      <c r="C39" s="16" t="s">
        <v>331</v>
      </c>
      <c r="D39" s="16" t="s">
        <v>1074</v>
      </c>
      <c r="E39" s="16" t="s">
        <v>708</v>
      </c>
      <c r="F39" s="16" t="s">
        <v>336</v>
      </c>
      <c r="G39" s="16" t="s">
        <v>986</v>
      </c>
      <c r="H39" s="16" t="s">
        <v>1079</v>
      </c>
      <c r="I39" s="16" t="s">
        <v>1080</v>
      </c>
      <c r="J39" s="16" t="s">
        <v>54</v>
      </c>
      <c r="K39" s="17"/>
      <c r="L39" s="17" t="s">
        <v>8</v>
      </c>
      <c r="M39" s="17"/>
      <c r="N39" s="18"/>
      <c r="O39" s="17"/>
    </row>
    <row r="40" spans="1:15" ht="52.8" x14ac:dyDescent="0.3">
      <c r="A40" s="16" t="s">
        <v>339</v>
      </c>
      <c r="B40" s="16" t="s">
        <v>14</v>
      </c>
      <c r="C40" s="16" t="s">
        <v>331</v>
      </c>
      <c r="D40" s="16" t="s">
        <v>1074</v>
      </c>
      <c r="E40" s="16" t="s">
        <v>701</v>
      </c>
      <c r="F40" s="16" t="s">
        <v>338</v>
      </c>
      <c r="G40" s="16" t="s">
        <v>986</v>
      </c>
      <c r="H40" s="16" t="s">
        <v>1081</v>
      </c>
      <c r="I40" s="16" t="s">
        <v>1082</v>
      </c>
      <c r="J40" s="16" t="s">
        <v>54</v>
      </c>
      <c r="K40" s="17"/>
      <c r="L40" s="17" t="s">
        <v>8</v>
      </c>
      <c r="M40" s="17"/>
      <c r="N40" s="18"/>
      <c r="O40" s="17"/>
    </row>
    <row r="41" spans="1:15" ht="52.8" x14ac:dyDescent="0.3">
      <c r="A41" s="16" t="s">
        <v>341</v>
      </c>
      <c r="B41" s="16" t="s">
        <v>14</v>
      </c>
      <c r="C41" s="16" t="s">
        <v>340</v>
      </c>
      <c r="D41" s="16" t="s">
        <v>1083</v>
      </c>
      <c r="E41" s="16" t="s">
        <v>708</v>
      </c>
      <c r="F41" s="16" t="s">
        <v>287</v>
      </c>
      <c r="G41" s="16" t="s">
        <v>986</v>
      </c>
      <c r="H41" s="16" t="s">
        <v>1084</v>
      </c>
      <c r="I41" s="16" t="s">
        <v>1085</v>
      </c>
      <c r="J41" s="16" t="s">
        <v>51</v>
      </c>
      <c r="K41" s="17"/>
      <c r="L41" s="17" t="s">
        <v>8</v>
      </c>
      <c r="M41" s="17"/>
      <c r="N41" s="18"/>
      <c r="O41" s="17"/>
    </row>
    <row r="42" spans="1:15" ht="52.8" x14ac:dyDescent="0.3">
      <c r="A42" s="16" t="s">
        <v>343</v>
      </c>
      <c r="B42" s="16" t="s">
        <v>14</v>
      </c>
      <c r="C42" s="16" t="s">
        <v>340</v>
      </c>
      <c r="D42" s="16" t="s">
        <v>1083</v>
      </c>
      <c r="E42" s="16" t="s">
        <v>713</v>
      </c>
      <c r="F42" s="16" t="s">
        <v>342</v>
      </c>
      <c r="G42" s="16" t="s">
        <v>986</v>
      </c>
      <c r="H42" s="16" t="s">
        <v>1086</v>
      </c>
      <c r="I42" s="16" t="s">
        <v>1087</v>
      </c>
      <c r="J42" s="16" t="s">
        <v>51</v>
      </c>
      <c r="K42" s="17"/>
      <c r="L42" s="17" t="s">
        <v>8</v>
      </c>
      <c r="M42" s="17"/>
      <c r="N42" s="18"/>
      <c r="O42" s="17"/>
    </row>
    <row r="43" spans="1:15" ht="52.8" x14ac:dyDescent="0.3">
      <c r="A43" s="16" t="s">
        <v>345</v>
      </c>
      <c r="B43" s="16" t="s">
        <v>14</v>
      </c>
      <c r="C43" s="16" t="s">
        <v>340</v>
      </c>
      <c r="D43" s="16" t="s">
        <v>1083</v>
      </c>
      <c r="E43" s="16" t="s">
        <v>713</v>
      </c>
      <c r="F43" s="16" t="s">
        <v>344</v>
      </c>
      <c r="G43" s="16" t="s">
        <v>986</v>
      </c>
      <c r="H43" s="16" t="s">
        <v>1088</v>
      </c>
      <c r="I43" s="16" t="s">
        <v>1089</v>
      </c>
      <c r="J43" s="16" t="s">
        <v>51</v>
      </c>
      <c r="K43" s="17"/>
      <c r="L43" s="17" t="s">
        <v>8</v>
      </c>
      <c r="M43" s="17"/>
      <c r="N43" s="18"/>
      <c r="O43" s="17"/>
    </row>
    <row r="44" spans="1:15" ht="52.8" x14ac:dyDescent="0.3">
      <c r="A44" s="16" t="s">
        <v>346</v>
      </c>
      <c r="B44" s="16" t="s">
        <v>14</v>
      </c>
      <c r="C44" s="16" t="s">
        <v>340</v>
      </c>
      <c r="D44" s="16" t="s">
        <v>1083</v>
      </c>
      <c r="E44" s="16" t="s">
        <v>713</v>
      </c>
      <c r="F44" s="16" t="s">
        <v>293</v>
      </c>
      <c r="G44" s="16" t="s">
        <v>986</v>
      </c>
      <c r="H44" s="16" t="s">
        <v>1090</v>
      </c>
      <c r="I44" s="16" t="s">
        <v>1091</v>
      </c>
      <c r="J44" s="16" t="s">
        <v>54</v>
      </c>
      <c r="K44" s="17"/>
      <c r="L44" s="17" t="s">
        <v>8</v>
      </c>
      <c r="M44" s="17"/>
      <c r="N44" s="18"/>
      <c r="O44" s="17"/>
    </row>
    <row r="45" spans="1:15" ht="52.8" x14ac:dyDescent="0.3">
      <c r="A45" s="16" t="s">
        <v>348</v>
      </c>
      <c r="B45" s="16" t="s">
        <v>14</v>
      </c>
      <c r="C45" s="16" t="s">
        <v>340</v>
      </c>
      <c r="D45" s="16" t="s">
        <v>1083</v>
      </c>
      <c r="E45" s="16" t="s">
        <v>708</v>
      </c>
      <c r="F45" s="16" t="s">
        <v>347</v>
      </c>
      <c r="G45" s="16" t="s">
        <v>986</v>
      </c>
      <c r="H45" s="16" t="s">
        <v>1092</v>
      </c>
      <c r="I45" s="16" t="s">
        <v>1093</v>
      </c>
      <c r="J45" s="16" t="s">
        <v>54</v>
      </c>
      <c r="K45" s="17"/>
      <c r="L45" s="17" t="s">
        <v>8</v>
      </c>
      <c r="M45" s="17"/>
      <c r="N45" s="18"/>
      <c r="O45" s="17"/>
    </row>
    <row r="46" spans="1:15" ht="52.8" x14ac:dyDescent="0.3">
      <c r="A46" s="16" t="s">
        <v>349</v>
      </c>
      <c r="B46" s="16" t="s">
        <v>14</v>
      </c>
      <c r="C46" s="16" t="s">
        <v>340</v>
      </c>
      <c r="D46" s="16" t="s">
        <v>1083</v>
      </c>
      <c r="E46" s="16" t="s">
        <v>708</v>
      </c>
      <c r="F46" s="16" t="s">
        <v>297</v>
      </c>
      <c r="G46" s="16" t="s">
        <v>986</v>
      </c>
      <c r="H46" s="16" t="s">
        <v>1094</v>
      </c>
      <c r="I46" s="16" t="s">
        <v>1095</v>
      </c>
      <c r="J46" s="16" t="s">
        <v>54</v>
      </c>
      <c r="K46" s="17"/>
      <c r="L46" s="17" t="s">
        <v>8</v>
      </c>
      <c r="M46" s="17"/>
      <c r="N46" s="18"/>
      <c r="O46" s="17"/>
    </row>
    <row r="47" spans="1:15" ht="52.8" x14ac:dyDescent="0.3">
      <c r="A47" s="16" t="s">
        <v>350</v>
      </c>
      <c r="B47" s="16" t="s">
        <v>14</v>
      </c>
      <c r="C47" s="16" t="s">
        <v>340</v>
      </c>
      <c r="D47" s="16" t="s">
        <v>1083</v>
      </c>
      <c r="E47" s="16" t="s">
        <v>708</v>
      </c>
      <c r="F47" s="16" t="s">
        <v>299</v>
      </c>
      <c r="G47" s="16" t="s">
        <v>986</v>
      </c>
      <c r="H47" s="16" t="s">
        <v>1096</v>
      </c>
      <c r="I47" s="16" t="s">
        <v>1097</v>
      </c>
      <c r="J47" s="16" t="s">
        <v>54</v>
      </c>
      <c r="K47" s="17"/>
      <c r="L47" s="17" t="s">
        <v>8</v>
      </c>
      <c r="M47" s="17"/>
      <c r="N47" s="18"/>
      <c r="O47" s="17"/>
    </row>
    <row r="48" spans="1:15" ht="52.8" x14ac:dyDescent="0.3">
      <c r="A48" s="16" t="s">
        <v>352</v>
      </c>
      <c r="B48" s="16" t="s">
        <v>14</v>
      </c>
      <c r="C48" s="16" t="s">
        <v>340</v>
      </c>
      <c r="D48" s="16" t="s">
        <v>1083</v>
      </c>
      <c r="E48" s="16" t="s">
        <v>752</v>
      </c>
      <c r="F48" s="16" t="s">
        <v>351</v>
      </c>
      <c r="G48" s="16" t="s">
        <v>986</v>
      </c>
      <c r="H48" s="16" t="s">
        <v>1098</v>
      </c>
      <c r="I48" s="16" t="s">
        <v>1099</v>
      </c>
      <c r="J48" s="16" t="s">
        <v>51</v>
      </c>
      <c r="K48" s="17"/>
      <c r="L48" s="17" t="s">
        <v>8</v>
      </c>
      <c r="M48" s="17"/>
      <c r="N48" s="18"/>
      <c r="O48" s="17"/>
    </row>
    <row r="49" spans="1:15" ht="52.8" x14ac:dyDescent="0.3">
      <c r="A49" s="16" t="s">
        <v>355</v>
      </c>
      <c r="B49" s="16" t="s">
        <v>14</v>
      </c>
      <c r="C49" s="16" t="s">
        <v>353</v>
      </c>
      <c r="D49" s="16" t="s">
        <v>1100</v>
      </c>
      <c r="E49" s="16" t="s">
        <v>701</v>
      </c>
      <c r="F49" s="16" t="s">
        <v>354</v>
      </c>
      <c r="G49" s="16" t="s">
        <v>986</v>
      </c>
      <c r="H49" s="16" t="s">
        <v>1101</v>
      </c>
      <c r="I49" s="16" t="s">
        <v>1102</v>
      </c>
      <c r="J49" s="16" t="s">
        <v>51</v>
      </c>
      <c r="K49" s="17"/>
      <c r="L49" s="17" t="s">
        <v>8</v>
      </c>
      <c r="M49" s="17"/>
      <c r="N49" s="18"/>
      <c r="O49" s="17"/>
    </row>
    <row r="50" spans="1:15" ht="52.8" x14ac:dyDescent="0.3">
      <c r="A50" s="16" t="s">
        <v>357</v>
      </c>
      <c r="B50" s="16" t="s">
        <v>14</v>
      </c>
      <c r="C50" s="16" t="s">
        <v>353</v>
      </c>
      <c r="D50" s="16" t="s">
        <v>1100</v>
      </c>
      <c r="E50" s="16" t="s">
        <v>708</v>
      </c>
      <c r="F50" s="16" t="s">
        <v>356</v>
      </c>
      <c r="G50" s="16" t="s">
        <v>986</v>
      </c>
      <c r="H50" s="16" t="s">
        <v>1103</v>
      </c>
      <c r="I50" s="16" t="s">
        <v>1104</v>
      </c>
      <c r="J50" s="16" t="s">
        <v>54</v>
      </c>
      <c r="K50" s="17"/>
      <c r="L50" s="17" t="s">
        <v>8</v>
      </c>
      <c r="M50" s="17"/>
      <c r="N50" s="18"/>
      <c r="O50" s="17"/>
    </row>
    <row r="51" spans="1:15" ht="52.8" x14ac:dyDescent="0.3">
      <c r="A51" s="16" t="s">
        <v>360</v>
      </c>
      <c r="B51" s="16" t="s">
        <v>14</v>
      </c>
      <c r="C51" s="16" t="s">
        <v>358</v>
      </c>
      <c r="D51" s="16" t="s">
        <v>1105</v>
      </c>
      <c r="E51" s="16" t="s">
        <v>701</v>
      </c>
      <c r="F51" s="16" t="s">
        <v>359</v>
      </c>
      <c r="G51" s="16" t="s">
        <v>986</v>
      </c>
      <c r="H51" s="16" t="s">
        <v>1106</v>
      </c>
      <c r="I51" s="16" t="s">
        <v>1107</v>
      </c>
      <c r="J51" s="16" t="s">
        <v>99</v>
      </c>
      <c r="K51" s="17"/>
      <c r="L51" s="17" t="s">
        <v>8</v>
      </c>
      <c r="M51" s="17"/>
      <c r="N51" s="18"/>
      <c r="O51" s="17"/>
    </row>
    <row r="52" spans="1:15" ht="52.8" x14ac:dyDescent="0.3">
      <c r="A52" s="16" t="s">
        <v>386</v>
      </c>
      <c r="B52" s="16" t="s">
        <v>15</v>
      </c>
      <c r="C52" s="16" t="s">
        <v>384</v>
      </c>
      <c r="D52" s="16" t="s">
        <v>1108</v>
      </c>
      <c r="E52" s="16" t="s">
        <v>713</v>
      </c>
      <c r="F52" s="16" t="s">
        <v>385</v>
      </c>
      <c r="G52" s="16" t="s">
        <v>986</v>
      </c>
      <c r="H52" s="16" t="s">
        <v>1109</v>
      </c>
      <c r="I52" s="16" t="s">
        <v>1110</v>
      </c>
      <c r="J52" s="16" t="s">
        <v>51</v>
      </c>
      <c r="K52" s="17"/>
      <c r="L52" s="17" t="s">
        <v>8</v>
      </c>
      <c r="M52" s="17"/>
      <c r="N52" s="18"/>
      <c r="O52" s="17"/>
    </row>
    <row r="53" spans="1:15" ht="52.8" x14ac:dyDescent="0.3">
      <c r="A53" s="16" t="s">
        <v>388</v>
      </c>
      <c r="B53" s="16" t="s">
        <v>15</v>
      </c>
      <c r="C53" s="16" t="s">
        <v>384</v>
      </c>
      <c r="D53" s="16" t="s">
        <v>1108</v>
      </c>
      <c r="E53" s="16" t="s">
        <v>708</v>
      </c>
      <c r="F53" s="16" t="s">
        <v>387</v>
      </c>
      <c r="G53" s="16" t="s">
        <v>986</v>
      </c>
      <c r="H53" s="16" t="s">
        <v>1111</v>
      </c>
      <c r="I53" s="16" t="s">
        <v>1112</v>
      </c>
      <c r="J53" s="16" t="s">
        <v>54</v>
      </c>
      <c r="K53" s="17"/>
      <c r="L53" s="17" t="s">
        <v>8</v>
      </c>
      <c r="M53" s="17"/>
      <c r="N53" s="18"/>
      <c r="O53" s="17"/>
    </row>
    <row r="54" spans="1:15" ht="52.8" x14ac:dyDescent="0.3">
      <c r="A54" s="16" t="s">
        <v>390</v>
      </c>
      <c r="B54" s="16" t="s">
        <v>15</v>
      </c>
      <c r="C54" s="16" t="s">
        <v>384</v>
      </c>
      <c r="D54" s="16" t="s">
        <v>1113</v>
      </c>
      <c r="E54" s="16" t="s">
        <v>752</v>
      </c>
      <c r="F54" s="16" t="s">
        <v>389</v>
      </c>
      <c r="G54" s="16" t="s">
        <v>986</v>
      </c>
      <c r="H54" s="16" t="s">
        <v>1114</v>
      </c>
      <c r="I54" s="16" t="s">
        <v>1115</v>
      </c>
      <c r="J54" s="16" t="s">
        <v>51</v>
      </c>
      <c r="K54" s="17"/>
      <c r="L54" s="17" t="s">
        <v>8</v>
      </c>
      <c r="M54" s="17"/>
      <c r="N54" s="18"/>
      <c r="O54" s="17"/>
    </row>
    <row r="55" spans="1:15" ht="52.8" x14ac:dyDescent="0.3">
      <c r="A55" s="16" t="s">
        <v>392</v>
      </c>
      <c r="B55" s="16" t="s">
        <v>15</v>
      </c>
      <c r="C55" s="16" t="s">
        <v>384</v>
      </c>
      <c r="D55" s="16" t="s">
        <v>1116</v>
      </c>
      <c r="E55" s="16" t="s">
        <v>708</v>
      </c>
      <c r="F55" s="16" t="s">
        <v>391</v>
      </c>
      <c r="G55" s="16" t="s">
        <v>986</v>
      </c>
      <c r="H55" s="16" t="s">
        <v>1117</v>
      </c>
      <c r="I55" s="16" t="s">
        <v>1118</v>
      </c>
      <c r="J55" s="16" t="s">
        <v>99</v>
      </c>
      <c r="K55" s="17"/>
      <c r="L55" s="17" t="s">
        <v>8</v>
      </c>
      <c r="M55" s="17"/>
      <c r="N55" s="18"/>
      <c r="O55" s="17"/>
    </row>
    <row r="56" spans="1:15" ht="52.8" x14ac:dyDescent="0.3">
      <c r="A56" s="16" t="s">
        <v>420</v>
      </c>
      <c r="B56" s="16" t="s">
        <v>16</v>
      </c>
      <c r="C56" s="16" t="s">
        <v>418</v>
      </c>
      <c r="D56" s="16" t="s">
        <v>1119</v>
      </c>
      <c r="E56" s="16" t="s">
        <v>701</v>
      </c>
      <c r="F56" s="16" t="s">
        <v>419</v>
      </c>
      <c r="G56" s="16" t="s">
        <v>986</v>
      </c>
      <c r="H56" s="16" t="s">
        <v>1120</v>
      </c>
      <c r="I56" s="16" t="s">
        <v>1121</v>
      </c>
      <c r="J56" s="16" t="s">
        <v>54</v>
      </c>
      <c r="K56" s="17"/>
      <c r="L56" s="17" t="s">
        <v>8</v>
      </c>
      <c r="M56" s="17"/>
      <c r="N56" s="18"/>
      <c r="O56" s="17"/>
    </row>
    <row r="57" spans="1:15" ht="52.8" x14ac:dyDescent="0.3">
      <c r="A57" s="16" t="s">
        <v>423</v>
      </c>
      <c r="B57" s="16" t="s">
        <v>16</v>
      </c>
      <c r="C57" s="16" t="s">
        <v>421</v>
      </c>
      <c r="D57" s="16" t="s">
        <v>1122</v>
      </c>
      <c r="E57" s="16" t="s">
        <v>708</v>
      </c>
      <c r="F57" s="16" t="s">
        <v>422</v>
      </c>
      <c r="G57" s="16" t="s">
        <v>986</v>
      </c>
      <c r="H57" s="16" t="s">
        <v>1123</v>
      </c>
      <c r="I57" s="16" t="s">
        <v>1124</v>
      </c>
      <c r="J57" s="16" t="s">
        <v>51</v>
      </c>
      <c r="K57" s="17"/>
      <c r="L57" s="17" t="s">
        <v>8</v>
      </c>
      <c r="M57" s="17"/>
      <c r="N57" s="18"/>
      <c r="O57" s="17"/>
    </row>
    <row r="58" spans="1:15" ht="66" x14ac:dyDescent="0.3">
      <c r="A58" s="16" t="s">
        <v>424</v>
      </c>
      <c r="B58" s="16" t="s">
        <v>16</v>
      </c>
      <c r="C58" s="16" t="s">
        <v>421</v>
      </c>
      <c r="D58" s="16" t="s">
        <v>1122</v>
      </c>
      <c r="E58" s="16" t="s">
        <v>713</v>
      </c>
      <c r="F58" s="16" t="s">
        <v>342</v>
      </c>
      <c r="G58" s="16" t="s">
        <v>986</v>
      </c>
      <c r="H58" s="16" t="s">
        <v>1125</v>
      </c>
      <c r="I58" s="16" t="s">
        <v>1126</v>
      </c>
      <c r="J58" s="16" t="s">
        <v>51</v>
      </c>
      <c r="K58" s="17"/>
      <c r="L58" s="17" t="s">
        <v>8</v>
      </c>
      <c r="M58" s="17"/>
      <c r="N58" s="18"/>
      <c r="O58" s="17"/>
    </row>
    <row r="59" spans="1:15" ht="52.8" x14ac:dyDescent="0.3">
      <c r="A59" s="16" t="s">
        <v>426</v>
      </c>
      <c r="B59" s="16" t="s">
        <v>16</v>
      </c>
      <c r="C59" s="16" t="s">
        <v>421</v>
      </c>
      <c r="D59" s="16" t="s">
        <v>1122</v>
      </c>
      <c r="E59" s="16" t="s">
        <v>752</v>
      </c>
      <c r="F59" s="16" t="s">
        <v>425</v>
      </c>
      <c r="G59" s="16" t="s">
        <v>986</v>
      </c>
      <c r="H59" s="16" t="s">
        <v>1127</v>
      </c>
      <c r="I59" s="16" t="s">
        <v>1128</v>
      </c>
      <c r="J59" s="16" t="s">
        <v>51</v>
      </c>
      <c r="K59" s="17"/>
      <c r="L59" s="17" t="s">
        <v>8</v>
      </c>
      <c r="M59" s="17"/>
      <c r="N59" s="18"/>
      <c r="O59" s="17"/>
    </row>
    <row r="60" spans="1:15" ht="52.8" x14ac:dyDescent="0.3">
      <c r="A60" s="16" t="s">
        <v>427</v>
      </c>
      <c r="B60" s="16" t="s">
        <v>16</v>
      </c>
      <c r="C60" s="16" t="s">
        <v>421</v>
      </c>
      <c r="D60" s="16" t="s">
        <v>1122</v>
      </c>
      <c r="E60" s="16" t="s">
        <v>713</v>
      </c>
      <c r="F60" s="16" t="s">
        <v>400</v>
      </c>
      <c r="G60" s="16" t="s">
        <v>986</v>
      </c>
      <c r="H60" s="16" t="s">
        <v>1129</v>
      </c>
      <c r="I60" s="16" t="s">
        <v>1130</v>
      </c>
      <c r="J60" s="16" t="s">
        <v>51</v>
      </c>
      <c r="K60" s="17"/>
      <c r="L60" s="17" t="s">
        <v>8</v>
      </c>
      <c r="M60" s="17"/>
      <c r="N60" s="18"/>
      <c r="O60" s="17"/>
    </row>
    <row r="61" spans="1:15" ht="52.8" x14ac:dyDescent="0.3">
      <c r="A61" s="16" t="s">
        <v>429</v>
      </c>
      <c r="B61" s="16" t="s">
        <v>16</v>
      </c>
      <c r="C61" s="16" t="s">
        <v>421</v>
      </c>
      <c r="D61" s="16" t="s">
        <v>1122</v>
      </c>
      <c r="E61" s="16" t="s">
        <v>708</v>
      </c>
      <c r="F61" s="16" t="s">
        <v>428</v>
      </c>
      <c r="G61" s="16" t="s">
        <v>986</v>
      </c>
      <c r="H61" s="16" t="s">
        <v>1131</v>
      </c>
      <c r="I61" s="16" t="s">
        <v>1132</v>
      </c>
      <c r="J61" s="16" t="s">
        <v>54</v>
      </c>
      <c r="K61" s="17"/>
      <c r="L61" s="17" t="s">
        <v>8</v>
      </c>
      <c r="M61" s="17"/>
      <c r="N61" s="18"/>
      <c r="O61" s="17"/>
    </row>
    <row r="62" spans="1:15" ht="52.8" x14ac:dyDescent="0.3">
      <c r="A62" s="16" t="s">
        <v>431</v>
      </c>
      <c r="B62" s="16" t="s">
        <v>16</v>
      </c>
      <c r="C62" s="16" t="s">
        <v>430</v>
      </c>
      <c r="D62" s="16" t="s">
        <v>1133</v>
      </c>
      <c r="E62" s="16" t="s">
        <v>708</v>
      </c>
      <c r="F62" s="16" t="s">
        <v>404</v>
      </c>
      <c r="G62" s="16" t="s">
        <v>986</v>
      </c>
      <c r="H62" s="16" t="s">
        <v>1134</v>
      </c>
      <c r="I62" s="16" t="s">
        <v>1135</v>
      </c>
      <c r="J62" s="16" t="s">
        <v>51</v>
      </c>
      <c r="K62" s="17"/>
      <c r="L62" s="17" t="s">
        <v>8</v>
      </c>
      <c r="M62" s="17"/>
      <c r="N62" s="18"/>
      <c r="O62" s="17"/>
    </row>
    <row r="63" spans="1:15" ht="52.8" x14ac:dyDescent="0.3">
      <c r="A63" s="16" t="s">
        <v>433</v>
      </c>
      <c r="B63" s="16" t="s">
        <v>16</v>
      </c>
      <c r="C63" s="16" t="s">
        <v>430</v>
      </c>
      <c r="D63" s="16" t="s">
        <v>1133</v>
      </c>
      <c r="E63" s="16" t="s">
        <v>713</v>
      </c>
      <c r="F63" s="16" t="s">
        <v>432</v>
      </c>
      <c r="G63" s="16" t="s">
        <v>986</v>
      </c>
      <c r="H63" s="16" t="s">
        <v>1136</v>
      </c>
      <c r="I63" s="16" t="s">
        <v>1137</v>
      </c>
      <c r="J63" s="16" t="s">
        <v>51</v>
      </c>
      <c r="K63" s="17"/>
      <c r="L63" s="17" t="s">
        <v>8</v>
      </c>
      <c r="M63" s="17"/>
      <c r="N63" s="18"/>
      <c r="O63" s="17"/>
    </row>
    <row r="64" spans="1:15" ht="52.8" x14ac:dyDescent="0.3">
      <c r="A64" s="16" t="s">
        <v>465</v>
      </c>
      <c r="B64" s="16" t="s">
        <v>17</v>
      </c>
      <c r="C64" s="16" t="s">
        <v>463</v>
      </c>
      <c r="D64" s="16" t="s">
        <v>1138</v>
      </c>
      <c r="E64" s="16" t="s">
        <v>701</v>
      </c>
      <c r="F64" s="16" t="s">
        <v>464</v>
      </c>
      <c r="G64" s="16" t="s">
        <v>986</v>
      </c>
      <c r="H64" s="16" t="s">
        <v>1139</v>
      </c>
      <c r="I64" s="16" t="s">
        <v>1140</v>
      </c>
      <c r="J64" s="16" t="s">
        <v>54</v>
      </c>
      <c r="K64" s="17"/>
      <c r="L64" s="17" t="s">
        <v>8</v>
      </c>
      <c r="M64" s="17"/>
      <c r="N64" s="18"/>
      <c r="O64" s="17"/>
    </row>
    <row r="65" spans="1:15" ht="66" x14ac:dyDescent="0.3">
      <c r="A65" s="16" t="s">
        <v>467</v>
      </c>
      <c r="B65" s="16" t="s">
        <v>17</v>
      </c>
      <c r="C65" s="16" t="s">
        <v>466</v>
      </c>
      <c r="D65" s="16" t="s">
        <v>1141</v>
      </c>
      <c r="E65" s="16" t="s">
        <v>708</v>
      </c>
      <c r="F65" s="16" t="s">
        <v>466</v>
      </c>
      <c r="G65" s="16" t="s">
        <v>986</v>
      </c>
      <c r="H65" s="16" t="s">
        <v>1142</v>
      </c>
      <c r="I65" s="16" t="s">
        <v>1143</v>
      </c>
      <c r="J65" s="16" t="s">
        <v>51</v>
      </c>
      <c r="K65" s="17"/>
      <c r="L65" s="17" t="s">
        <v>8</v>
      </c>
      <c r="M65" s="17"/>
      <c r="N65" s="18"/>
      <c r="O65" s="17"/>
    </row>
    <row r="66" spans="1:15" ht="52.8" x14ac:dyDescent="0.3">
      <c r="A66" s="16" t="s">
        <v>468</v>
      </c>
      <c r="B66" s="16" t="s">
        <v>17</v>
      </c>
      <c r="C66" s="16" t="s">
        <v>466</v>
      </c>
      <c r="D66" s="16" t="s">
        <v>1141</v>
      </c>
      <c r="E66" s="16" t="s">
        <v>713</v>
      </c>
      <c r="F66" s="16" t="s">
        <v>342</v>
      </c>
      <c r="G66" s="16" t="s">
        <v>986</v>
      </c>
      <c r="H66" s="16" t="s">
        <v>1144</v>
      </c>
      <c r="I66" s="16" t="s">
        <v>1145</v>
      </c>
      <c r="J66" s="16" t="s">
        <v>51</v>
      </c>
      <c r="K66" s="17"/>
      <c r="L66" s="17" t="s">
        <v>8</v>
      </c>
      <c r="M66" s="17"/>
      <c r="N66" s="18"/>
      <c r="O66" s="17"/>
    </row>
    <row r="67" spans="1:15" ht="52.8" x14ac:dyDescent="0.3">
      <c r="A67" s="16" t="s">
        <v>471</v>
      </c>
      <c r="B67" s="16" t="s">
        <v>17</v>
      </c>
      <c r="C67" s="16" t="s">
        <v>469</v>
      </c>
      <c r="D67" s="16" t="s">
        <v>1146</v>
      </c>
      <c r="E67" s="16" t="s">
        <v>752</v>
      </c>
      <c r="F67" s="16" t="s">
        <v>470</v>
      </c>
      <c r="G67" s="16" t="s">
        <v>986</v>
      </c>
      <c r="H67" s="16" t="s">
        <v>1147</v>
      </c>
      <c r="I67" s="16" t="s">
        <v>1148</v>
      </c>
      <c r="J67" s="16" t="s">
        <v>51</v>
      </c>
      <c r="K67" s="17"/>
      <c r="L67" s="17" t="s">
        <v>8</v>
      </c>
      <c r="M67" s="17"/>
      <c r="N67" s="18"/>
      <c r="O67" s="17"/>
    </row>
    <row r="68" spans="1:15" ht="52.8" x14ac:dyDescent="0.3">
      <c r="A68" s="16" t="s">
        <v>474</v>
      </c>
      <c r="B68" s="16" t="s">
        <v>17</v>
      </c>
      <c r="C68" s="16" t="s">
        <v>472</v>
      </c>
      <c r="D68" s="16" t="s">
        <v>1149</v>
      </c>
      <c r="E68" s="16" t="s">
        <v>713</v>
      </c>
      <c r="F68" s="16" t="s">
        <v>473</v>
      </c>
      <c r="G68" s="16" t="s">
        <v>986</v>
      </c>
      <c r="H68" s="16" t="s">
        <v>912</v>
      </c>
      <c r="I68" s="16" t="s">
        <v>1150</v>
      </c>
      <c r="J68" s="16" t="s">
        <v>51</v>
      </c>
      <c r="K68" s="17"/>
      <c r="L68" s="17" t="s">
        <v>8</v>
      </c>
      <c r="M68" s="17"/>
      <c r="N68" s="18"/>
      <c r="O68" s="17"/>
    </row>
    <row r="69" spans="1:15" ht="52.8" x14ac:dyDescent="0.3">
      <c r="A69" s="16" t="s">
        <v>491</v>
      </c>
      <c r="B69" s="16" t="s">
        <v>18</v>
      </c>
      <c r="C69" s="16" t="s">
        <v>490</v>
      </c>
      <c r="D69" s="16" t="s">
        <v>1151</v>
      </c>
      <c r="E69" s="16" t="s">
        <v>701</v>
      </c>
      <c r="F69" s="16" t="s">
        <v>490</v>
      </c>
      <c r="G69" s="16" t="s">
        <v>986</v>
      </c>
      <c r="H69" s="16" t="s">
        <v>1152</v>
      </c>
      <c r="I69" s="16" t="s">
        <v>1153</v>
      </c>
      <c r="J69" s="16" t="s">
        <v>54</v>
      </c>
      <c r="K69" s="17"/>
      <c r="L69" s="17" t="s">
        <v>8</v>
      </c>
      <c r="M69" s="17"/>
      <c r="N69" s="18"/>
      <c r="O69" s="17"/>
    </row>
    <row r="70" spans="1:15" ht="52.8" x14ac:dyDescent="0.3">
      <c r="A70" s="16" t="s">
        <v>494</v>
      </c>
      <c r="B70" s="16" t="s">
        <v>18</v>
      </c>
      <c r="C70" s="16" t="s">
        <v>492</v>
      </c>
      <c r="D70" s="16" t="s">
        <v>1154</v>
      </c>
      <c r="E70" s="16" t="s">
        <v>708</v>
      </c>
      <c r="F70" s="16" t="s">
        <v>493</v>
      </c>
      <c r="G70" s="16" t="s">
        <v>986</v>
      </c>
      <c r="H70" s="16" t="s">
        <v>1155</v>
      </c>
      <c r="I70" s="16" t="s">
        <v>1156</v>
      </c>
      <c r="J70" s="16" t="s">
        <v>51</v>
      </c>
      <c r="K70" s="17"/>
      <c r="L70" s="17" t="s">
        <v>8</v>
      </c>
      <c r="M70" s="17"/>
      <c r="N70" s="18"/>
      <c r="O70" s="17"/>
    </row>
    <row r="71" spans="1:15" ht="79.2" x14ac:dyDescent="0.3">
      <c r="A71" s="16" t="s">
        <v>495</v>
      </c>
      <c r="B71" s="16" t="s">
        <v>18</v>
      </c>
      <c r="C71" s="16" t="s">
        <v>492</v>
      </c>
      <c r="D71" s="16" t="s">
        <v>1154</v>
      </c>
      <c r="E71" s="16" t="s">
        <v>713</v>
      </c>
      <c r="F71" s="16" t="s">
        <v>342</v>
      </c>
      <c r="G71" s="16" t="s">
        <v>986</v>
      </c>
      <c r="H71" s="16" t="s">
        <v>1157</v>
      </c>
      <c r="I71" s="16" t="s">
        <v>1158</v>
      </c>
      <c r="J71" s="16" t="s">
        <v>51</v>
      </c>
      <c r="K71" s="17"/>
      <c r="L71" s="17" t="s">
        <v>8</v>
      </c>
      <c r="M71" s="17"/>
      <c r="N71" s="18"/>
      <c r="O71" s="17"/>
    </row>
    <row r="72" spans="1:15" ht="52.8" x14ac:dyDescent="0.3">
      <c r="A72" s="16" t="s">
        <v>498</v>
      </c>
      <c r="B72" s="16" t="s">
        <v>18</v>
      </c>
      <c r="C72" s="16" t="s">
        <v>496</v>
      </c>
      <c r="D72" s="16" t="s">
        <v>1159</v>
      </c>
      <c r="E72" s="16" t="s">
        <v>752</v>
      </c>
      <c r="F72" s="16" t="s">
        <v>497</v>
      </c>
      <c r="G72" s="16" t="s">
        <v>986</v>
      </c>
      <c r="H72" s="16" t="s">
        <v>1160</v>
      </c>
      <c r="I72" s="16" t="s">
        <v>1161</v>
      </c>
      <c r="J72" s="16" t="s">
        <v>51</v>
      </c>
      <c r="K72" s="17"/>
      <c r="L72" s="17" t="s">
        <v>8</v>
      </c>
      <c r="M72" s="17"/>
      <c r="N72" s="18"/>
      <c r="O72" s="17"/>
    </row>
    <row r="73" spans="1:15" ht="52.8" x14ac:dyDescent="0.3">
      <c r="A73" s="16" t="s">
        <v>501</v>
      </c>
      <c r="B73" s="16" t="s">
        <v>18</v>
      </c>
      <c r="C73" s="16" t="s">
        <v>499</v>
      </c>
      <c r="D73" s="16" t="s">
        <v>1162</v>
      </c>
      <c r="E73" s="16" t="s">
        <v>713</v>
      </c>
      <c r="F73" s="16" t="s">
        <v>500</v>
      </c>
      <c r="G73" s="16" t="s">
        <v>986</v>
      </c>
      <c r="H73" s="16" t="s">
        <v>1163</v>
      </c>
      <c r="I73" s="16" t="s">
        <v>1164</v>
      </c>
      <c r="J73" s="16" t="s">
        <v>54</v>
      </c>
      <c r="K73" s="17"/>
      <c r="L73" s="17" t="s">
        <v>8</v>
      </c>
      <c r="M73" s="17"/>
      <c r="N73" s="18"/>
      <c r="O73" s="17"/>
    </row>
    <row r="74" spans="1:15" ht="52.8" x14ac:dyDescent="0.3">
      <c r="A74" s="16" t="s">
        <v>503</v>
      </c>
      <c r="B74" s="16" t="s">
        <v>18</v>
      </c>
      <c r="C74" s="16" t="s">
        <v>496</v>
      </c>
      <c r="D74" s="16" t="s">
        <v>1159</v>
      </c>
      <c r="E74" s="16" t="s">
        <v>713</v>
      </c>
      <c r="F74" s="16" t="s">
        <v>502</v>
      </c>
      <c r="G74" s="16" t="s">
        <v>986</v>
      </c>
      <c r="H74" s="16" t="s">
        <v>1165</v>
      </c>
      <c r="I74" s="16" t="s">
        <v>1166</v>
      </c>
      <c r="J74" s="16" t="s">
        <v>51</v>
      </c>
      <c r="K74" s="17"/>
      <c r="L74" s="17" t="s">
        <v>8</v>
      </c>
      <c r="M74" s="17"/>
      <c r="N74" s="18"/>
      <c r="O74" s="17"/>
    </row>
    <row r="75" spans="1:15" ht="39.6" x14ac:dyDescent="0.3">
      <c r="A75" s="16" t="s">
        <v>518</v>
      </c>
      <c r="B75" s="16" t="s">
        <v>19</v>
      </c>
      <c r="C75" s="16" t="s">
        <v>516</v>
      </c>
      <c r="D75" s="16" t="s">
        <v>1167</v>
      </c>
      <c r="E75" s="16" t="s">
        <v>708</v>
      </c>
      <c r="F75" s="16" t="s">
        <v>517</v>
      </c>
      <c r="G75" s="16" t="s">
        <v>1168</v>
      </c>
      <c r="H75" s="16" t="s">
        <v>1169</v>
      </c>
      <c r="I75" s="16" t="s">
        <v>1170</v>
      </c>
      <c r="J75" s="16" t="s">
        <v>54</v>
      </c>
      <c r="K75" s="17"/>
      <c r="L75" s="17" t="s">
        <v>8</v>
      </c>
      <c r="M75" s="17"/>
      <c r="N75" s="18"/>
      <c r="O75" s="17"/>
    </row>
    <row r="76" spans="1:15" ht="52.8" x14ac:dyDescent="0.3">
      <c r="A76" s="16" t="s">
        <v>521</v>
      </c>
      <c r="B76" s="16" t="s">
        <v>19</v>
      </c>
      <c r="C76" s="16" t="s">
        <v>519</v>
      </c>
      <c r="D76" s="16" t="s">
        <v>1171</v>
      </c>
      <c r="E76" s="16" t="s">
        <v>708</v>
      </c>
      <c r="F76" s="16" t="s">
        <v>520</v>
      </c>
      <c r="G76" s="16" t="s">
        <v>1168</v>
      </c>
      <c r="H76" s="16" t="s">
        <v>1172</v>
      </c>
      <c r="I76" s="16" t="s">
        <v>1173</v>
      </c>
      <c r="J76" s="16" t="s">
        <v>51</v>
      </c>
      <c r="K76" s="17"/>
      <c r="L76" s="17" t="s">
        <v>8</v>
      </c>
      <c r="M76" s="17"/>
      <c r="N76" s="18"/>
      <c r="O76" s="17"/>
    </row>
    <row r="77" spans="1:15" ht="39.6" x14ac:dyDescent="0.3">
      <c r="A77" s="16" t="s">
        <v>523</v>
      </c>
      <c r="B77" s="16" t="s">
        <v>19</v>
      </c>
      <c r="C77" s="16" t="s">
        <v>519</v>
      </c>
      <c r="D77" s="16" t="s">
        <v>1171</v>
      </c>
      <c r="E77" s="16" t="s">
        <v>713</v>
      </c>
      <c r="F77" s="16" t="s">
        <v>522</v>
      </c>
      <c r="G77" s="16" t="s">
        <v>1168</v>
      </c>
      <c r="H77" s="16" t="s">
        <v>1174</v>
      </c>
      <c r="I77" s="16" t="s">
        <v>1175</v>
      </c>
      <c r="J77" s="16" t="s">
        <v>54</v>
      </c>
      <c r="K77" s="17"/>
      <c r="L77" s="17" t="s">
        <v>8</v>
      </c>
      <c r="M77" s="17"/>
      <c r="N77" s="18"/>
      <c r="O77" s="17"/>
    </row>
    <row r="78" spans="1:15" ht="39.6" x14ac:dyDescent="0.3">
      <c r="A78" s="16" t="s">
        <v>526</v>
      </c>
      <c r="B78" s="16" t="s">
        <v>19</v>
      </c>
      <c r="C78" s="16" t="s">
        <v>524</v>
      </c>
      <c r="D78" s="16" t="s">
        <v>19</v>
      </c>
      <c r="E78" s="16" t="s">
        <v>701</v>
      </c>
      <c r="F78" s="16" t="s">
        <v>525</v>
      </c>
      <c r="G78" s="16" t="s">
        <v>1168</v>
      </c>
      <c r="H78" s="16" t="s">
        <v>1176</v>
      </c>
      <c r="I78" s="16" t="s">
        <v>1177</v>
      </c>
      <c r="J78" s="16" t="s">
        <v>99</v>
      </c>
      <c r="K78" s="17"/>
      <c r="L78" s="17" t="s">
        <v>8</v>
      </c>
      <c r="M78" s="17"/>
      <c r="N78" s="18"/>
      <c r="O78" s="17"/>
    </row>
    <row r="79" spans="1:15" ht="79.2" x14ac:dyDescent="0.3">
      <c r="A79" s="16" t="s">
        <v>560</v>
      </c>
      <c r="B79" s="16" t="s">
        <v>20</v>
      </c>
      <c r="C79" s="16" t="s">
        <v>559</v>
      </c>
      <c r="D79" s="16" t="s">
        <v>559</v>
      </c>
      <c r="E79" s="16" t="s">
        <v>701</v>
      </c>
      <c r="F79" s="16" t="s">
        <v>528</v>
      </c>
      <c r="G79" s="16" t="s">
        <v>986</v>
      </c>
      <c r="H79" s="16" t="s">
        <v>1178</v>
      </c>
      <c r="I79" s="16" t="s">
        <v>1179</v>
      </c>
      <c r="J79" s="16" t="s">
        <v>51</v>
      </c>
      <c r="K79" s="17"/>
      <c r="L79" s="17" t="s">
        <v>8</v>
      </c>
      <c r="M79" s="17"/>
      <c r="N79" s="18"/>
      <c r="O79" s="17"/>
    </row>
    <row r="80" spans="1:15" ht="52.8" x14ac:dyDescent="0.3">
      <c r="A80" s="16" t="s">
        <v>562</v>
      </c>
      <c r="B80" s="16" t="s">
        <v>20</v>
      </c>
      <c r="C80" s="16" t="s">
        <v>559</v>
      </c>
      <c r="D80" s="16" t="s">
        <v>559</v>
      </c>
      <c r="E80" s="16" t="s">
        <v>708</v>
      </c>
      <c r="F80" s="16" t="s">
        <v>561</v>
      </c>
      <c r="G80" s="16" t="s">
        <v>986</v>
      </c>
      <c r="H80" s="16" t="s">
        <v>1180</v>
      </c>
      <c r="I80" s="16" t="s">
        <v>1181</v>
      </c>
      <c r="J80" s="16" t="s">
        <v>54</v>
      </c>
      <c r="K80" s="17"/>
      <c r="L80" s="17" t="s">
        <v>8</v>
      </c>
      <c r="M80" s="17"/>
      <c r="N80" s="18"/>
      <c r="O80" s="17"/>
    </row>
    <row r="81" spans="1:15" ht="52.8" x14ac:dyDescent="0.3">
      <c r="A81" s="16" t="s">
        <v>565</v>
      </c>
      <c r="B81" s="16" t="s">
        <v>20</v>
      </c>
      <c r="C81" s="16" t="s">
        <v>563</v>
      </c>
      <c r="D81" s="16" t="s">
        <v>1182</v>
      </c>
      <c r="E81" s="16" t="s">
        <v>708</v>
      </c>
      <c r="F81" s="16" t="s">
        <v>564</v>
      </c>
      <c r="G81" s="16" t="s">
        <v>986</v>
      </c>
      <c r="H81" s="16" t="s">
        <v>1183</v>
      </c>
      <c r="I81" s="16" t="s">
        <v>1184</v>
      </c>
      <c r="J81" s="16" t="s">
        <v>51</v>
      </c>
      <c r="K81" s="17"/>
      <c r="L81" s="17" t="s">
        <v>8</v>
      </c>
      <c r="M81" s="17"/>
      <c r="N81" s="18"/>
      <c r="O81" s="17"/>
    </row>
    <row r="82" spans="1:15" ht="52.8" x14ac:dyDescent="0.3">
      <c r="A82" s="16" t="s">
        <v>567</v>
      </c>
      <c r="B82" s="16" t="s">
        <v>20</v>
      </c>
      <c r="C82" s="16" t="s">
        <v>563</v>
      </c>
      <c r="D82" s="16" t="s">
        <v>1182</v>
      </c>
      <c r="E82" s="16" t="s">
        <v>713</v>
      </c>
      <c r="F82" s="16" t="s">
        <v>566</v>
      </c>
      <c r="G82" s="16" t="s">
        <v>986</v>
      </c>
      <c r="H82" s="16" t="s">
        <v>1185</v>
      </c>
      <c r="I82" s="16" t="s">
        <v>1186</v>
      </c>
      <c r="J82" s="16" t="s">
        <v>54</v>
      </c>
      <c r="K82" s="17"/>
      <c r="L82" s="17" t="s">
        <v>8</v>
      </c>
      <c r="M82" s="17"/>
      <c r="N82" s="18"/>
      <c r="O82" s="17"/>
    </row>
    <row r="83" spans="1:15" ht="52.8" x14ac:dyDescent="0.3">
      <c r="A83" s="16" t="s">
        <v>570</v>
      </c>
      <c r="B83" s="16" t="s">
        <v>20</v>
      </c>
      <c r="C83" s="16" t="s">
        <v>568</v>
      </c>
      <c r="D83" s="16" t="s">
        <v>1182</v>
      </c>
      <c r="E83" s="16" t="s">
        <v>708</v>
      </c>
      <c r="F83" s="16" t="s">
        <v>569</v>
      </c>
      <c r="G83" s="16" t="s">
        <v>986</v>
      </c>
      <c r="H83" s="16" t="s">
        <v>1187</v>
      </c>
      <c r="I83" s="16" t="s">
        <v>1188</v>
      </c>
      <c r="J83" s="16" t="s">
        <v>54</v>
      </c>
      <c r="K83" s="17"/>
      <c r="L83" s="17" t="s">
        <v>8</v>
      </c>
      <c r="M83" s="17"/>
      <c r="N83" s="18"/>
      <c r="O83" s="17"/>
    </row>
    <row r="84" spans="1:15" ht="52.8" x14ac:dyDescent="0.3">
      <c r="A84" s="16" t="s">
        <v>573</v>
      </c>
      <c r="B84" s="16" t="s">
        <v>20</v>
      </c>
      <c r="C84" s="16" t="s">
        <v>571</v>
      </c>
      <c r="D84" s="16" t="s">
        <v>1189</v>
      </c>
      <c r="E84" s="16" t="s">
        <v>708</v>
      </c>
      <c r="F84" s="16" t="s">
        <v>572</v>
      </c>
      <c r="G84" s="16" t="s">
        <v>986</v>
      </c>
      <c r="H84" s="16" t="s">
        <v>1190</v>
      </c>
      <c r="I84" s="16" t="s">
        <v>1191</v>
      </c>
      <c r="J84" s="16" t="s">
        <v>51</v>
      </c>
      <c r="K84" s="17"/>
      <c r="L84" s="17" t="s">
        <v>8</v>
      </c>
      <c r="M84" s="17"/>
      <c r="N84" s="18"/>
      <c r="O84" s="17"/>
    </row>
    <row r="85" spans="1:15" ht="52.8" x14ac:dyDescent="0.3">
      <c r="A85" s="16" t="s">
        <v>575</v>
      </c>
      <c r="B85" s="16" t="s">
        <v>20</v>
      </c>
      <c r="C85" s="16" t="s">
        <v>314</v>
      </c>
      <c r="D85" s="16" t="s">
        <v>559</v>
      </c>
      <c r="E85" s="16" t="s">
        <v>752</v>
      </c>
      <c r="F85" s="16" t="s">
        <v>574</v>
      </c>
      <c r="G85" s="16" t="s">
        <v>986</v>
      </c>
      <c r="H85" s="16" t="s">
        <v>1192</v>
      </c>
      <c r="I85" s="16" t="s">
        <v>1193</v>
      </c>
      <c r="J85" s="16" t="s">
        <v>51</v>
      </c>
      <c r="K85" s="17"/>
      <c r="L85" s="17" t="s">
        <v>8</v>
      </c>
      <c r="M85" s="17"/>
      <c r="N85" s="18"/>
      <c r="O85" s="17"/>
    </row>
    <row r="86" spans="1:15" ht="52.8" x14ac:dyDescent="0.3">
      <c r="A86" s="16" t="s">
        <v>577</v>
      </c>
      <c r="B86" s="16" t="s">
        <v>20</v>
      </c>
      <c r="C86" s="16" t="s">
        <v>317</v>
      </c>
      <c r="D86" s="16" t="s">
        <v>559</v>
      </c>
      <c r="E86" s="16" t="s">
        <v>752</v>
      </c>
      <c r="F86" s="16" t="s">
        <v>576</v>
      </c>
      <c r="G86" s="16" t="s">
        <v>986</v>
      </c>
      <c r="H86" s="16" t="s">
        <v>1194</v>
      </c>
      <c r="I86" s="16" t="s">
        <v>1195</v>
      </c>
      <c r="J86" s="16" t="s">
        <v>54</v>
      </c>
      <c r="K86" s="17"/>
      <c r="L86" s="17" t="s">
        <v>8</v>
      </c>
      <c r="M86" s="17"/>
      <c r="N86" s="18"/>
      <c r="O86" s="17"/>
    </row>
    <row r="87" spans="1:15" ht="52.8" x14ac:dyDescent="0.3">
      <c r="A87" s="16" t="s">
        <v>579</v>
      </c>
      <c r="B87" s="16" t="s">
        <v>20</v>
      </c>
      <c r="C87" s="16" t="s">
        <v>375</v>
      </c>
      <c r="D87" s="16" t="s">
        <v>559</v>
      </c>
      <c r="E87" s="16" t="s">
        <v>752</v>
      </c>
      <c r="F87" s="16" t="s">
        <v>578</v>
      </c>
      <c r="G87" s="16" t="s">
        <v>986</v>
      </c>
      <c r="H87" s="16" t="s">
        <v>1196</v>
      </c>
      <c r="I87" s="16" t="s">
        <v>1197</v>
      </c>
      <c r="J87" s="16" t="s">
        <v>54</v>
      </c>
      <c r="K87" s="17"/>
      <c r="L87" s="17" t="s">
        <v>8</v>
      </c>
      <c r="M87" s="17"/>
      <c r="N87" s="18"/>
      <c r="O87" s="17"/>
    </row>
    <row r="88" spans="1:15" ht="52.8" x14ac:dyDescent="0.3">
      <c r="A88" s="16" t="s">
        <v>581</v>
      </c>
      <c r="B88" s="16" t="s">
        <v>20</v>
      </c>
      <c r="C88" s="16" t="s">
        <v>378</v>
      </c>
      <c r="D88" s="16" t="s">
        <v>559</v>
      </c>
      <c r="E88" s="16" t="s">
        <v>752</v>
      </c>
      <c r="F88" s="16" t="s">
        <v>580</v>
      </c>
      <c r="G88" s="16" t="s">
        <v>986</v>
      </c>
      <c r="H88" s="16" t="s">
        <v>1198</v>
      </c>
      <c r="I88" s="16" t="s">
        <v>1195</v>
      </c>
      <c r="J88" s="16" t="s">
        <v>99</v>
      </c>
      <c r="K88" s="17"/>
      <c r="L88" s="17" t="s">
        <v>8</v>
      </c>
      <c r="M88" s="17"/>
      <c r="N88" s="18"/>
      <c r="O88" s="17"/>
    </row>
    <row r="89" spans="1:15" ht="52.8" x14ac:dyDescent="0.3">
      <c r="A89" s="16" t="s">
        <v>583</v>
      </c>
      <c r="B89" s="16" t="s">
        <v>20</v>
      </c>
      <c r="C89" s="16" t="s">
        <v>381</v>
      </c>
      <c r="D89" s="16" t="s">
        <v>559</v>
      </c>
      <c r="E89" s="16" t="s">
        <v>713</v>
      </c>
      <c r="F89" s="16" t="s">
        <v>582</v>
      </c>
      <c r="G89" s="16" t="s">
        <v>986</v>
      </c>
      <c r="H89" s="16" t="s">
        <v>1199</v>
      </c>
      <c r="I89" s="16" t="s">
        <v>1200</v>
      </c>
      <c r="J89" s="16" t="s">
        <v>51</v>
      </c>
      <c r="K89" s="17"/>
      <c r="L89" s="17" t="s">
        <v>8</v>
      </c>
      <c r="M89" s="17"/>
      <c r="N89" s="18"/>
      <c r="O89" s="17"/>
    </row>
    <row r="90" spans="1:15" ht="52.8" x14ac:dyDescent="0.3">
      <c r="A90" s="16" t="s">
        <v>586</v>
      </c>
      <c r="B90" s="16" t="s">
        <v>20</v>
      </c>
      <c r="C90" s="16" t="s">
        <v>584</v>
      </c>
      <c r="D90" s="16" t="s">
        <v>559</v>
      </c>
      <c r="E90" s="16" t="s">
        <v>752</v>
      </c>
      <c r="F90" s="16" t="s">
        <v>585</v>
      </c>
      <c r="G90" s="16" t="s">
        <v>986</v>
      </c>
      <c r="H90" s="16" t="s">
        <v>1201</v>
      </c>
      <c r="I90" s="16" t="s">
        <v>1202</v>
      </c>
      <c r="J90" s="16" t="s">
        <v>54</v>
      </c>
      <c r="K90" s="17"/>
      <c r="L90" s="17" t="s">
        <v>8</v>
      </c>
      <c r="M90" s="17"/>
      <c r="N90" s="18"/>
      <c r="O90" s="17"/>
    </row>
    <row r="91" spans="1:15" ht="52.8" x14ac:dyDescent="0.3">
      <c r="A91" s="16" t="s">
        <v>588</v>
      </c>
      <c r="B91" s="16" t="s">
        <v>20</v>
      </c>
      <c r="C91" s="16" t="s">
        <v>410</v>
      </c>
      <c r="D91" s="16" t="s">
        <v>559</v>
      </c>
      <c r="E91" s="16" t="s">
        <v>752</v>
      </c>
      <c r="F91" s="16" t="s">
        <v>587</v>
      </c>
      <c r="G91" s="16" t="s">
        <v>986</v>
      </c>
      <c r="H91" s="16" t="s">
        <v>1203</v>
      </c>
      <c r="I91" s="16" t="s">
        <v>1204</v>
      </c>
      <c r="J91" s="16" t="s">
        <v>51</v>
      </c>
      <c r="K91" s="17"/>
      <c r="L91" s="17" t="s">
        <v>8</v>
      </c>
      <c r="M91" s="17"/>
      <c r="N91" s="18"/>
      <c r="O91" s="17"/>
    </row>
    <row r="92" spans="1:15" ht="52.8" x14ac:dyDescent="0.3">
      <c r="A92" s="16" t="s">
        <v>590</v>
      </c>
      <c r="B92" s="16" t="s">
        <v>20</v>
      </c>
      <c r="C92" s="16" t="s">
        <v>446</v>
      </c>
      <c r="D92" s="16" t="s">
        <v>559</v>
      </c>
      <c r="E92" s="16" t="s">
        <v>752</v>
      </c>
      <c r="F92" s="16" t="s">
        <v>589</v>
      </c>
      <c r="G92" s="16" t="s">
        <v>986</v>
      </c>
      <c r="H92" s="16" t="s">
        <v>1205</v>
      </c>
      <c r="I92" s="16" t="s">
        <v>1206</v>
      </c>
      <c r="J92" s="16" t="s">
        <v>51</v>
      </c>
      <c r="K92" s="17"/>
      <c r="L92" s="17" t="s">
        <v>8</v>
      </c>
      <c r="M92" s="17"/>
      <c r="N92" s="18"/>
      <c r="O92" s="17"/>
    </row>
    <row r="93" spans="1:15" ht="52.8" x14ac:dyDescent="0.3">
      <c r="A93" s="16" t="s">
        <v>593</v>
      </c>
      <c r="B93" s="16" t="s">
        <v>20</v>
      </c>
      <c r="C93" s="16" t="s">
        <v>591</v>
      </c>
      <c r="D93" s="16" t="s">
        <v>559</v>
      </c>
      <c r="E93" s="16" t="s">
        <v>752</v>
      </c>
      <c r="F93" s="16" t="s">
        <v>592</v>
      </c>
      <c r="G93" s="16" t="s">
        <v>986</v>
      </c>
      <c r="H93" s="16" t="s">
        <v>1207</v>
      </c>
      <c r="I93" s="16" t="s">
        <v>1195</v>
      </c>
      <c r="J93" s="16" t="s">
        <v>99</v>
      </c>
      <c r="K93" s="17"/>
      <c r="L93" s="17" t="s">
        <v>8</v>
      </c>
      <c r="M93" s="17"/>
      <c r="N93" s="18"/>
      <c r="O93" s="17"/>
    </row>
    <row r="94" spans="1:15" ht="52.8" x14ac:dyDescent="0.3">
      <c r="A94" s="16" t="s">
        <v>595</v>
      </c>
      <c r="B94" s="16" t="s">
        <v>20</v>
      </c>
      <c r="C94" s="16" t="s">
        <v>457</v>
      </c>
      <c r="D94" s="16" t="s">
        <v>559</v>
      </c>
      <c r="E94" s="16" t="s">
        <v>752</v>
      </c>
      <c r="F94" s="16" t="s">
        <v>594</v>
      </c>
      <c r="G94" s="16" t="s">
        <v>986</v>
      </c>
      <c r="H94" s="16" t="s">
        <v>924</v>
      </c>
      <c r="I94" s="16" t="s">
        <v>925</v>
      </c>
      <c r="J94" s="16" t="s">
        <v>54</v>
      </c>
      <c r="K94" s="17"/>
      <c r="L94" s="17" t="s">
        <v>8</v>
      </c>
      <c r="M94" s="17"/>
      <c r="N94" s="18"/>
      <c r="O94" s="17"/>
    </row>
    <row r="95" spans="1:15" ht="52.8" x14ac:dyDescent="0.3">
      <c r="A95" s="16" t="s">
        <v>597</v>
      </c>
      <c r="B95" s="16" t="s">
        <v>20</v>
      </c>
      <c r="C95" s="16" t="s">
        <v>556</v>
      </c>
      <c r="D95" s="16" t="s">
        <v>1208</v>
      </c>
      <c r="E95" s="16" t="s">
        <v>752</v>
      </c>
      <c r="F95" s="16" t="s">
        <v>596</v>
      </c>
      <c r="G95" s="16" t="s">
        <v>986</v>
      </c>
      <c r="H95" s="16" t="s">
        <v>1209</v>
      </c>
      <c r="I95" s="16" t="s">
        <v>1210</v>
      </c>
      <c r="J95" s="16" t="s">
        <v>51</v>
      </c>
      <c r="K95" s="17"/>
      <c r="L95" s="17" t="s">
        <v>8</v>
      </c>
      <c r="M95" s="17"/>
      <c r="N95" s="18"/>
      <c r="O95" s="17"/>
    </row>
    <row r="96" spans="1:15" ht="52.8" x14ac:dyDescent="0.3">
      <c r="A96" s="16" t="s">
        <v>639</v>
      </c>
      <c r="B96" s="16" t="s">
        <v>26</v>
      </c>
      <c r="C96" s="16" t="s">
        <v>26</v>
      </c>
      <c r="D96" s="16" t="s">
        <v>26</v>
      </c>
      <c r="E96" s="16" t="s">
        <v>701</v>
      </c>
      <c r="F96" s="16" t="s">
        <v>638</v>
      </c>
      <c r="G96" s="16" t="s">
        <v>986</v>
      </c>
      <c r="H96" s="16" t="s">
        <v>1211</v>
      </c>
      <c r="I96" s="16" t="s">
        <v>1212</v>
      </c>
      <c r="J96" s="16" t="s">
        <v>51</v>
      </c>
      <c r="K96" s="17"/>
      <c r="L96" s="17" t="s">
        <v>8</v>
      </c>
      <c r="M96" s="17"/>
      <c r="N96" s="18"/>
      <c r="O96" s="17"/>
    </row>
    <row r="97" spans="1:15" ht="52.8" x14ac:dyDescent="0.3">
      <c r="A97" s="16" t="s">
        <v>641</v>
      </c>
      <c r="B97" s="16" t="s">
        <v>26</v>
      </c>
      <c r="C97" s="16" t="s">
        <v>26</v>
      </c>
      <c r="D97" s="16" t="s">
        <v>26</v>
      </c>
      <c r="E97" s="16" t="s">
        <v>708</v>
      </c>
      <c r="F97" s="16" t="s">
        <v>640</v>
      </c>
      <c r="G97" s="16" t="s">
        <v>986</v>
      </c>
      <c r="H97" s="16" t="s">
        <v>1213</v>
      </c>
      <c r="I97" s="16" t="s">
        <v>1214</v>
      </c>
      <c r="J97" s="16" t="s">
        <v>54</v>
      </c>
      <c r="K97" s="17"/>
      <c r="L97" s="17" t="s">
        <v>8</v>
      </c>
      <c r="M97" s="17"/>
      <c r="N97" s="18"/>
      <c r="O97" s="17"/>
    </row>
    <row r="98" spans="1:15" ht="52.8" x14ac:dyDescent="0.3">
      <c r="A98" s="16" t="s">
        <v>644</v>
      </c>
      <c r="B98" s="16" t="s">
        <v>26</v>
      </c>
      <c r="C98" s="16" t="s">
        <v>642</v>
      </c>
      <c r="D98" s="16" t="s">
        <v>26</v>
      </c>
      <c r="E98" s="16" t="s">
        <v>708</v>
      </c>
      <c r="F98" s="16" t="s">
        <v>643</v>
      </c>
      <c r="G98" s="16" t="s">
        <v>986</v>
      </c>
      <c r="H98" s="16" t="s">
        <v>1215</v>
      </c>
      <c r="I98" s="16" t="s">
        <v>1216</v>
      </c>
      <c r="J98" s="16" t="s">
        <v>54</v>
      </c>
      <c r="K98" s="17"/>
      <c r="L98" s="17" t="s">
        <v>8</v>
      </c>
      <c r="M98" s="17"/>
      <c r="N98" s="18"/>
      <c r="O98" s="17"/>
    </row>
    <row r="99" spans="1:15" ht="52.8" x14ac:dyDescent="0.3">
      <c r="A99" s="16" t="s">
        <v>646</v>
      </c>
      <c r="B99" s="16" t="s">
        <v>26</v>
      </c>
      <c r="C99" s="16" t="s">
        <v>645</v>
      </c>
      <c r="D99" s="16" t="s">
        <v>26</v>
      </c>
      <c r="E99" s="16" t="s">
        <v>708</v>
      </c>
      <c r="F99" s="16" t="s">
        <v>645</v>
      </c>
      <c r="G99" s="16" t="s">
        <v>986</v>
      </c>
      <c r="H99" s="16" t="s">
        <v>1217</v>
      </c>
      <c r="I99" s="16" t="s">
        <v>1218</v>
      </c>
      <c r="J99" s="16" t="s">
        <v>99</v>
      </c>
      <c r="K99" s="17"/>
      <c r="L99" s="17" t="s">
        <v>8</v>
      </c>
      <c r="M99" s="17"/>
      <c r="N99" s="18"/>
      <c r="O99" s="17"/>
    </row>
    <row r="100" spans="1:15" ht="52.8" x14ac:dyDescent="0.3">
      <c r="A100" s="16" t="s">
        <v>648</v>
      </c>
      <c r="B100" s="16" t="s">
        <v>26</v>
      </c>
      <c r="C100" s="16" t="s">
        <v>278</v>
      </c>
      <c r="D100" s="16" t="s">
        <v>1219</v>
      </c>
      <c r="E100" s="16" t="s">
        <v>701</v>
      </c>
      <c r="F100" s="16" t="s">
        <v>647</v>
      </c>
      <c r="G100" s="16" t="s">
        <v>986</v>
      </c>
      <c r="H100" s="16" t="s">
        <v>1220</v>
      </c>
      <c r="I100" s="16" t="s">
        <v>1221</v>
      </c>
      <c r="J100" s="16" t="s">
        <v>51</v>
      </c>
      <c r="K100" s="17"/>
      <c r="L100" s="17" t="s">
        <v>8</v>
      </c>
      <c r="M100" s="17"/>
      <c r="N100" s="18"/>
      <c r="O100" s="17"/>
    </row>
    <row r="101" spans="1:15" ht="52.8" x14ac:dyDescent="0.3">
      <c r="A101" s="16" t="s">
        <v>650</v>
      </c>
      <c r="B101" s="16" t="s">
        <v>26</v>
      </c>
      <c r="C101" s="16" t="s">
        <v>278</v>
      </c>
      <c r="D101" s="16" t="s">
        <v>1219</v>
      </c>
      <c r="E101" s="16" t="s">
        <v>708</v>
      </c>
      <c r="F101" s="16" t="s">
        <v>649</v>
      </c>
      <c r="G101" s="16" t="s">
        <v>986</v>
      </c>
      <c r="H101" s="16" t="s">
        <v>1222</v>
      </c>
      <c r="I101" s="16" t="s">
        <v>1223</v>
      </c>
      <c r="J101" s="16" t="s">
        <v>54</v>
      </c>
      <c r="K101" s="17"/>
      <c r="L101" s="17" t="s">
        <v>8</v>
      </c>
      <c r="M101" s="17"/>
      <c r="N101" s="18"/>
      <c r="O101" s="17"/>
    </row>
    <row r="102" spans="1:15" ht="52.8" x14ac:dyDescent="0.3">
      <c r="A102" s="16" t="s">
        <v>652</v>
      </c>
      <c r="B102" s="16" t="s">
        <v>26</v>
      </c>
      <c r="C102" s="16" t="s">
        <v>244</v>
      </c>
      <c r="D102" s="16" t="s">
        <v>1224</v>
      </c>
      <c r="E102" s="16" t="s">
        <v>713</v>
      </c>
      <c r="F102" s="16" t="s">
        <v>651</v>
      </c>
      <c r="G102" s="16" t="s">
        <v>986</v>
      </c>
      <c r="H102" s="16" t="s">
        <v>1225</v>
      </c>
      <c r="I102" s="16" t="s">
        <v>1226</v>
      </c>
      <c r="J102" s="16" t="s">
        <v>51</v>
      </c>
      <c r="K102" s="17"/>
      <c r="L102" s="17" t="s">
        <v>8</v>
      </c>
      <c r="M102" s="17"/>
      <c r="N102" s="18"/>
      <c r="O102" s="17"/>
    </row>
    <row r="103" spans="1:15" ht="52.8" x14ac:dyDescent="0.3">
      <c r="A103" s="16" t="s">
        <v>655</v>
      </c>
      <c r="B103" s="16" t="s">
        <v>26</v>
      </c>
      <c r="C103" s="16" t="s">
        <v>653</v>
      </c>
      <c r="D103" s="16" t="s">
        <v>1227</v>
      </c>
      <c r="E103" s="16" t="s">
        <v>708</v>
      </c>
      <c r="F103" s="16" t="s">
        <v>654</v>
      </c>
      <c r="G103" s="16" t="s">
        <v>986</v>
      </c>
      <c r="H103" s="16" t="s">
        <v>1228</v>
      </c>
      <c r="I103" s="16" t="s">
        <v>1229</v>
      </c>
      <c r="J103" s="16" t="s">
        <v>54</v>
      </c>
      <c r="K103" s="17"/>
      <c r="L103" s="17" t="s">
        <v>8</v>
      </c>
      <c r="M103" s="17"/>
      <c r="N103" s="18"/>
      <c r="O103" s="17"/>
    </row>
    <row r="104" spans="1:15" ht="52.8" x14ac:dyDescent="0.3">
      <c r="A104" s="16" t="s">
        <v>658</v>
      </c>
      <c r="B104" s="16" t="s">
        <v>26</v>
      </c>
      <c r="C104" s="16" t="s">
        <v>656</v>
      </c>
      <c r="D104" s="16" t="s">
        <v>1219</v>
      </c>
      <c r="E104" s="16" t="s">
        <v>708</v>
      </c>
      <c r="F104" s="16" t="s">
        <v>657</v>
      </c>
      <c r="G104" s="16" t="s">
        <v>986</v>
      </c>
      <c r="H104" s="16" t="s">
        <v>1230</v>
      </c>
      <c r="I104" s="16" t="s">
        <v>1231</v>
      </c>
      <c r="J104" s="16" t="s">
        <v>99</v>
      </c>
      <c r="K104" s="17"/>
      <c r="L104" s="17" t="s">
        <v>8</v>
      </c>
      <c r="M104" s="17"/>
      <c r="N104" s="18"/>
      <c r="O104" s="17"/>
    </row>
    <row r="105" spans="1:15" ht="52.8" x14ac:dyDescent="0.3">
      <c r="A105" s="16" t="s">
        <v>659</v>
      </c>
      <c r="B105" s="16" t="s">
        <v>26</v>
      </c>
      <c r="C105" s="16" t="s">
        <v>262</v>
      </c>
      <c r="D105" s="16" t="s">
        <v>1232</v>
      </c>
      <c r="E105" s="16" t="s">
        <v>713</v>
      </c>
      <c r="F105" s="16" t="s">
        <v>263</v>
      </c>
      <c r="G105" s="16" t="s">
        <v>986</v>
      </c>
      <c r="H105" s="16" t="s">
        <v>1233</v>
      </c>
      <c r="I105" s="16" t="s">
        <v>1234</v>
      </c>
      <c r="J105" s="16" t="s">
        <v>54</v>
      </c>
      <c r="K105" s="17"/>
      <c r="L105" s="17" t="s">
        <v>8</v>
      </c>
      <c r="M105" s="17"/>
      <c r="N105" s="18"/>
      <c r="O105" s="17"/>
    </row>
    <row r="106" spans="1:15" ht="52.8" x14ac:dyDescent="0.3">
      <c r="A106" s="16" t="s">
        <v>661</v>
      </c>
      <c r="B106" s="16" t="s">
        <v>26</v>
      </c>
      <c r="C106" s="16" t="s">
        <v>213</v>
      </c>
      <c r="D106" s="16" t="s">
        <v>1235</v>
      </c>
      <c r="E106" s="16" t="s">
        <v>708</v>
      </c>
      <c r="F106" s="16" t="s">
        <v>660</v>
      </c>
      <c r="G106" s="16" t="s">
        <v>986</v>
      </c>
      <c r="H106" s="16" t="s">
        <v>1236</v>
      </c>
      <c r="I106" s="16" t="s">
        <v>1237</v>
      </c>
      <c r="J106" s="16" t="s">
        <v>51</v>
      </c>
      <c r="K106" s="17"/>
      <c r="L106" s="17" t="s">
        <v>8</v>
      </c>
      <c r="M106" s="17"/>
      <c r="N106" s="18"/>
      <c r="O106" s="17"/>
    </row>
    <row r="107" spans="1:15" ht="52.8" x14ac:dyDescent="0.3">
      <c r="A107" s="16" t="s">
        <v>663</v>
      </c>
      <c r="B107" s="16" t="s">
        <v>26</v>
      </c>
      <c r="C107" s="16" t="s">
        <v>272</v>
      </c>
      <c r="D107" s="16" t="s">
        <v>1238</v>
      </c>
      <c r="E107" s="16" t="s">
        <v>713</v>
      </c>
      <c r="F107" s="16" t="s">
        <v>662</v>
      </c>
      <c r="G107" s="16" t="s">
        <v>986</v>
      </c>
      <c r="H107" s="16" t="s">
        <v>1239</v>
      </c>
      <c r="I107" s="16" t="s">
        <v>1240</v>
      </c>
      <c r="J107" s="16" t="s">
        <v>54</v>
      </c>
      <c r="K107" s="17"/>
      <c r="L107" s="17" t="s">
        <v>8</v>
      </c>
      <c r="M107" s="17"/>
      <c r="N107" s="18"/>
      <c r="O107" s="17"/>
    </row>
    <row r="108" spans="1:15" ht="52.8" x14ac:dyDescent="0.3">
      <c r="A108" s="16" t="s">
        <v>666</v>
      </c>
      <c r="B108" s="16" t="s">
        <v>26</v>
      </c>
      <c r="C108" s="16" t="s">
        <v>664</v>
      </c>
      <c r="D108" s="16" t="s">
        <v>1219</v>
      </c>
      <c r="E108" s="16" t="s">
        <v>713</v>
      </c>
      <c r="F108" s="16" t="s">
        <v>665</v>
      </c>
      <c r="G108" s="16" t="s">
        <v>986</v>
      </c>
      <c r="H108" s="16" t="s">
        <v>1241</v>
      </c>
      <c r="I108" s="16" t="s">
        <v>1242</v>
      </c>
      <c r="J108" s="16" t="s">
        <v>54</v>
      </c>
      <c r="K108" s="17"/>
      <c r="L108" s="17" t="s">
        <v>8</v>
      </c>
      <c r="M108" s="17"/>
      <c r="N108" s="18"/>
      <c r="O108" s="17"/>
    </row>
    <row r="109" spans="1:15" ht="52.8" x14ac:dyDescent="0.3">
      <c r="A109" s="16" t="s">
        <v>668</v>
      </c>
      <c r="B109" s="16" t="s">
        <v>26</v>
      </c>
      <c r="C109" s="16" t="s">
        <v>239</v>
      </c>
      <c r="D109" s="16" t="s">
        <v>1243</v>
      </c>
      <c r="E109" s="16" t="s">
        <v>708</v>
      </c>
      <c r="F109" s="16" t="s">
        <v>667</v>
      </c>
      <c r="G109" s="16" t="s">
        <v>986</v>
      </c>
      <c r="H109" s="16" t="s">
        <v>1244</v>
      </c>
      <c r="I109" s="16" t="s">
        <v>1245</v>
      </c>
      <c r="J109" s="16" t="s">
        <v>51</v>
      </c>
      <c r="K109" s="17"/>
      <c r="L109" s="17" t="s">
        <v>8</v>
      </c>
      <c r="M109" s="17"/>
      <c r="N109" s="18"/>
      <c r="O109" s="17"/>
    </row>
    <row r="110" spans="1:15" ht="52.8" x14ac:dyDescent="0.3">
      <c r="A110" s="16" t="s">
        <v>670</v>
      </c>
      <c r="B110" s="16" t="s">
        <v>26</v>
      </c>
      <c r="C110" s="16" t="s">
        <v>239</v>
      </c>
      <c r="D110" s="16" t="s">
        <v>1243</v>
      </c>
      <c r="E110" s="16" t="s">
        <v>708</v>
      </c>
      <c r="F110" s="16" t="s">
        <v>669</v>
      </c>
      <c r="G110" s="16" t="s">
        <v>986</v>
      </c>
      <c r="H110" s="16" t="s">
        <v>1246</v>
      </c>
      <c r="I110" s="16" t="s">
        <v>1247</v>
      </c>
      <c r="J110" s="16" t="s">
        <v>99</v>
      </c>
      <c r="K110" s="17"/>
      <c r="L110" s="17" t="s">
        <v>8</v>
      </c>
      <c r="M110" s="17"/>
      <c r="N110" s="18"/>
      <c r="O110" s="17"/>
    </row>
    <row r="111" spans="1:15" ht="52.8" x14ac:dyDescent="0.3">
      <c r="A111" s="16" t="s">
        <v>672</v>
      </c>
      <c r="B111" s="16" t="s">
        <v>26</v>
      </c>
      <c r="C111" s="16" t="s">
        <v>671</v>
      </c>
      <c r="D111" s="16" t="s">
        <v>1248</v>
      </c>
      <c r="E111" s="16" t="s">
        <v>713</v>
      </c>
      <c r="F111" s="16" t="s">
        <v>242</v>
      </c>
      <c r="G111" s="16" t="s">
        <v>986</v>
      </c>
      <c r="H111" s="16" t="s">
        <v>1249</v>
      </c>
      <c r="I111" s="16" t="s">
        <v>1250</v>
      </c>
      <c r="J111" s="16" t="s">
        <v>51</v>
      </c>
      <c r="K111" s="17"/>
      <c r="L111" s="17" t="s">
        <v>8</v>
      </c>
      <c r="M111" s="17"/>
      <c r="N111" s="18"/>
      <c r="O111" s="17"/>
    </row>
    <row r="112" spans="1:15" ht="52.8" x14ac:dyDescent="0.3">
      <c r="A112" s="16" t="s">
        <v>674</v>
      </c>
      <c r="B112" s="16" t="s">
        <v>26</v>
      </c>
      <c r="C112" s="16" t="s">
        <v>601</v>
      </c>
      <c r="D112" s="16" t="s">
        <v>1251</v>
      </c>
      <c r="E112" s="16" t="s">
        <v>713</v>
      </c>
      <c r="F112" s="16" t="s">
        <v>673</v>
      </c>
      <c r="G112" s="16" t="s">
        <v>986</v>
      </c>
      <c r="H112" s="16" t="s">
        <v>1252</v>
      </c>
      <c r="I112" s="16" t="s">
        <v>1253</v>
      </c>
      <c r="J112" s="16" t="s">
        <v>51</v>
      </c>
      <c r="K112" s="17"/>
      <c r="L112" s="17" t="s">
        <v>8</v>
      </c>
      <c r="M112" s="17"/>
      <c r="N112" s="18"/>
      <c r="O112" s="17"/>
    </row>
    <row r="113" spans="1:15" ht="52.8" x14ac:dyDescent="0.3">
      <c r="A113" s="16" t="s">
        <v>675</v>
      </c>
      <c r="B113" s="16" t="s">
        <v>26</v>
      </c>
      <c r="C113" s="16" t="s">
        <v>601</v>
      </c>
      <c r="D113" s="16" t="s">
        <v>1251</v>
      </c>
      <c r="E113" s="16" t="s">
        <v>708</v>
      </c>
      <c r="F113" s="16" t="s">
        <v>604</v>
      </c>
      <c r="G113" s="16" t="s">
        <v>986</v>
      </c>
      <c r="H113" s="16" t="s">
        <v>1254</v>
      </c>
      <c r="I113" s="16" t="s">
        <v>1255</v>
      </c>
      <c r="J113" s="16" t="s">
        <v>54</v>
      </c>
      <c r="K113" s="17"/>
      <c r="L113" s="17" t="s">
        <v>8</v>
      </c>
      <c r="M113" s="17"/>
      <c r="N113" s="18"/>
      <c r="O113" s="17"/>
    </row>
    <row r="114" spans="1:15" ht="52.8" x14ac:dyDescent="0.3">
      <c r="A114" s="16" t="s">
        <v>676</v>
      </c>
      <c r="B114" s="16" t="s">
        <v>26</v>
      </c>
      <c r="C114" s="16" t="s">
        <v>608</v>
      </c>
      <c r="D114" s="16" t="s">
        <v>1251</v>
      </c>
      <c r="E114" s="16" t="s">
        <v>701</v>
      </c>
      <c r="F114" s="16" t="s">
        <v>608</v>
      </c>
      <c r="G114" s="16" t="s">
        <v>986</v>
      </c>
      <c r="H114" s="16" t="s">
        <v>1256</v>
      </c>
      <c r="I114" s="16" t="s">
        <v>1257</v>
      </c>
      <c r="J114" s="16" t="s">
        <v>99</v>
      </c>
      <c r="K114" s="17"/>
      <c r="L114" s="17" t="s">
        <v>8</v>
      </c>
      <c r="M114" s="17"/>
      <c r="N114" s="18"/>
      <c r="O114" s="17"/>
    </row>
    <row r="115" spans="1:15" ht="52.8" x14ac:dyDescent="0.3">
      <c r="A115" s="16" t="s">
        <v>678</v>
      </c>
      <c r="B115" s="16" t="s">
        <v>26</v>
      </c>
      <c r="C115" s="16" t="s">
        <v>611</v>
      </c>
      <c r="D115" s="16" t="s">
        <v>1258</v>
      </c>
      <c r="E115" s="16" t="s">
        <v>708</v>
      </c>
      <c r="F115" s="16" t="s">
        <v>677</v>
      </c>
      <c r="G115" s="16" t="s">
        <v>986</v>
      </c>
      <c r="H115" s="16" t="s">
        <v>1259</v>
      </c>
      <c r="I115" s="16" t="s">
        <v>1260</v>
      </c>
      <c r="J115" s="16" t="s">
        <v>51</v>
      </c>
      <c r="K115" s="17"/>
      <c r="L115" s="17" t="s">
        <v>8</v>
      </c>
      <c r="M115" s="17"/>
      <c r="N115" s="18"/>
      <c r="O115" s="17"/>
    </row>
    <row r="116" spans="1:15" ht="52.8" x14ac:dyDescent="0.3">
      <c r="A116" s="16" t="s">
        <v>680</v>
      </c>
      <c r="B116" s="16" t="s">
        <v>26</v>
      </c>
      <c r="C116" s="16" t="s">
        <v>611</v>
      </c>
      <c r="D116" s="16" t="s">
        <v>1258</v>
      </c>
      <c r="E116" s="16" t="s">
        <v>752</v>
      </c>
      <c r="F116" s="16" t="s">
        <v>679</v>
      </c>
      <c r="G116" s="16" t="s">
        <v>986</v>
      </c>
      <c r="H116" s="16" t="s">
        <v>1261</v>
      </c>
      <c r="I116" s="16" t="s">
        <v>1262</v>
      </c>
      <c r="J116" s="16" t="s">
        <v>51</v>
      </c>
      <c r="K116" s="17"/>
      <c r="L116" s="17" t="s">
        <v>8</v>
      </c>
      <c r="M116" s="17"/>
      <c r="N116" s="18"/>
      <c r="O116" s="17"/>
    </row>
    <row r="117" spans="1:15" ht="52.8" x14ac:dyDescent="0.3">
      <c r="A117" s="16" t="s">
        <v>682</v>
      </c>
      <c r="B117" s="16" t="s">
        <v>26</v>
      </c>
      <c r="C117" s="16" t="s">
        <v>611</v>
      </c>
      <c r="D117" s="16" t="s">
        <v>1258</v>
      </c>
      <c r="E117" s="16" t="s">
        <v>713</v>
      </c>
      <c r="F117" s="16" t="s">
        <v>681</v>
      </c>
      <c r="G117" s="16" t="s">
        <v>986</v>
      </c>
      <c r="H117" s="16" t="s">
        <v>1263</v>
      </c>
      <c r="I117" s="16" t="s">
        <v>1264</v>
      </c>
      <c r="J117" s="16" t="s">
        <v>51</v>
      </c>
      <c r="K117" s="17"/>
      <c r="L117" s="17" t="s">
        <v>8</v>
      </c>
      <c r="M117" s="17"/>
      <c r="N117" s="18"/>
      <c r="O117" s="17"/>
    </row>
    <row r="118" spans="1:15" ht="52.8" x14ac:dyDescent="0.3">
      <c r="A118" s="16" t="s">
        <v>683</v>
      </c>
      <c r="B118" s="16" t="s">
        <v>26</v>
      </c>
      <c r="C118" s="16" t="s">
        <v>624</v>
      </c>
      <c r="D118" s="16" t="s">
        <v>1265</v>
      </c>
      <c r="E118" s="16" t="s">
        <v>701</v>
      </c>
      <c r="F118" s="16" t="s">
        <v>624</v>
      </c>
      <c r="G118" s="16" t="s">
        <v>986</v>
      </c>
      <c r="H118" s="16" t="s">
        <v>1266</v>
      </c>
      <c r="I118" s="16" t="s">
        <v>1267</v>
      </c>
      <c r="J118" s="16" t="s">
        <v>54</v>
      </c>
      <c r="K118" s="17"/>
      <c r="L118" s="17" t="s">
        <v>8</v>
      </c>
      <c r="M118" s="17"/>
      <c r="N118" s="18"/>
      <c r="O118" s="17"/>
    </row>
    <row r="119" spans="1:15" ht="52.8" x14ac:dyDescent="0.3">
      <c r="A119" s="16" t="s">
        <v>686</v>
      </c>
      <c r="B119" s="16" t="s">
        <v>27</v>
      </c>
      <c r="C119" s="16" t="s">
        <v>684</v>
      </c>
      <c r="D119" s="16" t="s">
        <v>1268</v>
      </c>
      <c r="E119" s="16" t="s">
        <v>701</v>
      </c>
      <c r="F119" s="16" t="s">
        <v>685</v>
      </c>
      <c r="G119" s="16" t="s">
        <v>986</v>
      </c>
      <c r="H119" s="16" t="s">
        <v>1269</v>
      </c>
      <c r="I119" s="16" t="s">
        <v>1270</v>
      </c>
      <c r="J119" s="16" t="s">
        <v>51</v>
      </c>
      <c r="K119" s="17"/>
      <c r="L119" s="17" t="s">
        <v>8</v>
      </c>
      <c r="M119" s="17"/>
      <c r="N119" s="18"/>
      <c r="O119" s="17"/>
    </row>
    <row r="120" spans="1:15" ht="52.8" x14ac:dyDescent="0.3">
      <c r="A120" s="16" t="s">
        <v>688</v>
      </c>
      <c r="B120" s="16" t="s">
        <v>27</v>
      </c>
      <c r="C120" s="16" t="s">
        <v>684</v>
      </c>
      <c r="D120" s="16" t="s">
        <v>1268</v>
      </c>
      <c r="E120" s="16" t="s">
        <v>713</v>
      </c>
      <c r="F120" s="16" t="s">
        <v>687</v>
      </c>
      <c r="G120" s="16" t="s">
        <v>986</v>
      </c>
      <c r="H120" s="16" t="s">
        <v>1271</v>
      </c>
      <c r="I120" s="16" t="s">
        <v>1272</v>
      </c>
      <c r="J120" s="16" t="s">
        <v>51</v>
      </c>
      <c r="K120" s="17"/>
      <c r="L120" s="17" t="s">
        <v>8</v>
      </c>
      <c r="M120" s="17"/>
      <c r="N120" s="18"/>
      <c r="O120" s="17"/>
    </row>
    <row r="121" spans="1:15" ht="52.8" x14ac:dyDescent="0.3">
      <c r="A121" s="16" t="s">
        <v>691</v>
      </c>
      <c r="B121" s="16" t="s">
        <v>27</v>
      </c>
      <c r="C121" s="16" t="s">
        <v>689</v>
      </c>
      <c r="D121" s="16" t="s">
        <v>1273</v>
      </c>
      <c r="E121" s="16" t="s">
        <v>708</v>
      </c>
      <c r="F121" s="16" t="s">
        <v>690</v>
      </c>
      <c r="G121" s="16" t="s">
        <v>986</v>
      </c>
      <c r="H121" s="16" t="s">
        <v>1274</v>
      </c>
      <c r="I121" s="16" t="s">
        <v>1275</v>
      </c>
      <c r="J121" s="16" t="s">
        <v>54</v>
      </c>
      <c r="K121" s="17"/>
      <c r="L121" s="17" t="s">
        <v>8</v>
      </c>
      <c r="M121" s="17"/>
      <c r="N121" s="18"/>
      <c r="O121" s="17"/>
    </row>
    <row r="122" spans="1:15" ht="39.6" x14ac:dyDescent="0.3">
      <c r="A122" s="16" t="s">
        <v>633</v>
      </c>
      <c r="B122" s="16" t="s">
        <v>22</v>
      </c>
      <c r="C122" s="16" t="s">
        <v>627</v>
      </c>
      <c r="D122" s="16" t="s">
        <v>1008</v>
      </c>
      <c r="E122" s="16" t="s">
        <v>752</v>
      </c>
      <c r="F122" s="16" t="s">
        <v>632</v>
      </c>
      <c r="G122" s="16" t="s">
        <v>1276</v>
      </c>
      <c r="H122" s="16" t="s">
        <v>1277</v>
      </c>
      <c r="I122" s="16" t="s">
        <v>1278</v>
      </c>
      <c r="J122" s="16" t="s">
        <v>51</v>
      </c>
      <c r="K122" s="17"/>
      <c r="L122" s="17" t="s">
        <v>8</v>
      </c>
      <c r="M122" s="17"/>
      <c r="N122" s="18"/>
      <c r="O122" s="17"/>
    </row>
  </sheetData>
  <autoFilter ref="A1:O122" xr:uid="{00000000-0009-0000-0000-000003000000}"/>
  <dataValidations count="2">
    <dataValidation type="list" allowBlank="1" sqref="L2:L122" xr:uid="{00000000-0002-0000-0300-000000000000}">
      <formula1>"Chưa test,Đạt,Lỗi,Bỏ qua"</formula1>
    </dataValidation>
    <dataValidation type="list" allowBlank="1" sqref="J2:J122" xr:uid="{00000000-0002-0000-0300-000001000000}">
      <formula1>"Cao,Trung bình,Thấp"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hợp</vt:lpstr>
      <vt:lpstr>Checklist</vt:lpstr>
      <vt:lpstr>Web</vt:lpstr>
      <vt:lpstr>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Account Active 37</cp:lastModifiedBy>
  <dcterms:created xsi:type="dcterms:W3CDTF">2026-10-28T02:07:37Z</dcterms:created>
  <dcterms:modified xsi:type="dcterms:W3CDTF">2026-10-29T14:52:52Z</dcterms:modified>
</cp:coreProperties>
</file>